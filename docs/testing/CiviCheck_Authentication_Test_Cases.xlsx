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Test Accounts" sheetId="6" state="visible" r:id="rId6"/>
  </sheets>
  <definedNames>
    <definedName name="_xlnm._FilterDatabase" localSheetId="2" hidden="1">'Test Cases'!$A$4:$T$263</definedName>
    <definedName name="_xlnm.Print_Titles" localSheetId="2">'Test Cases'!$4:$4</definedName>
    <definedName name="_xlnm._FilterDatabase" localSheetId="3" hidden="1">'Coverage Matrix'!$A$9:$H$178</definedName>
    <definedName name="_xlnm._FilterDatabase" localSheetId="4" hidden="1">'Findings'!$A$4:$L$28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1F3864"/>
      <sz val="16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C4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4" fillId="3" borderId="1" pivotButton="0" quotePrefix="0" xfId="0"/>
    <xf numFmtId="0" fontId="6" fillId="5" borderId="0" pivotButton="0" quotePrefix="0" xfId="0"/>
    <xf numFmtId="0" fontId="0" fillId="5" borderId="0" pivotButton="0" quotePrefix="0" xfId="0"/>
    <xf numFmtId="0" fontId="5" fillId="0" borderId="1" pivotButton="0" quotePrefix="0" xfId="0"/>
    <xf numFmtId="1" fontId="4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5" fontId="4" fillId="4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1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1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404040"/>
      </font>
      <fill>
        <patternFill patternType="solid">
          <fgColor rgb="00D9D9D9"/>
          <bgColor rgb="00D9D9D9"/>
        </patternFill>
      </fill>
    </dxf>
    <dxf>
      <font>
        <name val="Arial"/>
        <b val="1"/>
        <color rgb="009C0006"/>
      </font>
    </dxf>
    <dxf>
      <font>
        <name val="Arial"/>
        <b val="1"/>
        <color rgb="007030A0"/>
      </font>
    </dxf>
    <dxf>
      <fill>
        <patternFill patternType="solid">
          <fgColor rgb="00FCE4D6"/>
          <bgColor rgb="00FCE4D6"/>
        </patternFill>
      </fill>
    </dxf>
    <dxf>
      <font>
        <name val="Arial"/>
        <b val="1"/>
        <i val="1"/>
        <color rgb="007030A0"/>
      </font>
    </dxf>
    <dxf>
      <font>
        <name val="Arial"/>
        <b val="1"/>
        <color rgb="00006100"/>
      </font>
    </dxf>
    <dxf>
      <font>
        <name val="Arial"/>
        <b val="1"/>
        <color rgb="001F4E78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404040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CiviCheck - Authentication Module Test Plan &amp; Cases</t>
        </is>
      </c>
    </row>
    <row r="2">
      <c r="A2" s="2" t="inlineStr">
        <is>
          <t>City Civil Registrar Office (CCRO), City Government of Legazpi - Civil Registry Document Request and Requirement Validation System</t>
        </is>
      </c>
    </row>
    <row r="4" ht="36" customHeight="1">
      <c r="A4" s="3" t="inlineStr">
        <is>
          <t>Basis of design</t>
        </is>
      </c>
      <c r="B4" s="4" t="inlineStr">
        <is>
          <t>QA review of the codebase (branch develop, commit e9b7770). Test design is derived from reading the authentication source files, not from running the app.</t>
        </is>
      </c>
    </row>
    <row r="5" ht="51" customHeight="1">
      <c r="A5" s="3" t="inlineStr">
        <is>
          <t>Scope</t>
        </is>
      </c>
      <c r="B5" s="4" t="inlineStr">
        <is>
          <t>Sign-in, sign-up, email OTP verification, forgot/reset password, change password, Google OAuth and the auth callback, session handling and route guards (authentication + role-based access at the entry points), sign-out, staff invitation acceptance, and authentication audit events.</t>
        </is>
      </c>
    </row>
    <row r="6" ht="51" customHeight="1">
      <c r="A6" s="3" t="inlineStr">
        <is>
          <t>Out of scope</t>
        </is>
      </c>
      <c r="B6" s="4" t="inlineStr">
        <is>
          <t>Request workflow, payments, document upload, notifications, reports and admin CRUD (separate modules); load/performance testing; penetration testing beyond the security cases listed; SMS and online payment (excluded by the project brief).</t>
        </is>
      </c>
    </row>
    <row r="7" ht="81" customHeight="1">
      <c r="A7" s="3" t="inlineStr">
        <is>
          <t>How coverage is measured</t>
        </is>
      </c>
      <c r="B7" s="4" t="inlineStr">
        <is>
          <t>The repo has no automated test runner, so 'coverage' here means requirement / branch traceability, not line coverage. The code was reviewed and every validation rule, branch, requirement and key behaviour was listed as a coverage item on the 'Coverage Matrix' sheet. Each item is mapped to one or more test cases through the 'Covers' column. The Summary sheet reports covered items / identified items by formula. Identified items are only as complete as this review - add rows if new auth behaviour is added.</t>
        </is>
      </c>
    </row>
    <row r="8" ht="51" customHeight="1">
      <c r="A8" s="3" t="inlineStr">
        <is>
          <t>Test types</t>
        </is>
      </c>
      <c r="B8" s="4" t="inlineStr">
        <is>
          <t>Positive = valid input / happy path.  Negative = invalid input or forbidden action.  Boundary = values at and just beyond a limit (7 vs 8 chars, 3,600,000 vs 3,600,001 ms, iat == revoked_at, 1,000-user lookup).  Edge = unusual state, timing or environment.  Security = abuse, injection, enumeration, privilege or session attacks.</t>
        </is>
      </c>
    </row>
    <row r="9" ht="36" customHeight="1">
      <c r="A9" s="3" t="inlineStr">
        <is>
          <t>Levels</t>
        </is>
      </c>
      <c r="B9" s="4" t="inlineStr">
        <is>
          <t>UI = browser flow.  API = direct server-function call or stubbed dependency.  Unit = pure function with mocked time/input.  DB = verify or seed database state.  Config = Supabase / environment setting.</t>
        </is>
      </c>
    </row>
    <row r="10" ht="36" customHeight="1">
      <c r="A10" s="3" t="inlineStr">
        <is>
          <t>Priority</t>
        </is>
      </c>
      <c r="B10" s="4" t="inlineStr">
        <is>
          <t>High = core authentication, security or data-integrity behaviour; failure blocks release.  Medium = important but with a workaround.  Low = cosmetic, accessibility or rare.</t>
        </is>
      </c>
    </row>
    <row r="11" ht="36" customHeight="1">
      <c r="A11" s="3" t="inlineStr">
        <is>
          <t>Status values</t>
        </is>
      </c>
      <c r="B11" s="4" t="inlineStr">
        <is>
          <t>Not Run (default), Pass, Fail, Blocked (cannot execute - environment or dependency), Skipped (deliberately not run - note why).</t>
        </is>
      </c>
    </row>
    <row r="12" ht="51" customHeight="1">
      <c r="A12" s="3" t="inlineStr">
        <is>
          <t>Expected results</t>
        </is>
      </c>
      <c r="B12" s="4" t="inlineStr">
        <is>
          <t>Written as the CORRECT behaviour. Where the current code differs, the test case carries a Finding Ref and the Expected Result text notes what the code does today. A Fail on those cases confirms the finding on the 'Findings' sheet.</t>
        </is>
      </c>
    </row>
    <row r="13" ht="51" customHeight="1">
      <c r="A13" s="3" t="inlineStr">
        <is>
          <t>Colour legend</t>
        </is>
      </c>
      <c r="B13" s="4" t="inlineStr">
        <is>
          <t>Yellow cells (columns marked *) are for the tester to fill in. Orange Finding Ref and orange Expected Result (starting [Known issue ...]) = the current code is known or suspected to differ from the correct behaviour. Red 'GAP' on the Coverage Matrix = an item with no test case.</t>
        </is>
      </c>
    </row>
    <row r="14" ht="66" customHeight="1">
      <c r="A14" s="3" t="inlineStr">
        <is>
          <t>Suites</t>
        </is>
      </c>
      <c r="B14" s="4" t="inlineStr">
        <is>
          <t>Smoke (about 25) = quick check that sign-in, sign-up, reset, access control and sign-out basically work; run first and after every change.  Core = the remaining High-priority cases.  Extended = Medium and Low priority.  Suite and Category are independent filters: for a first week without any setup, filter Suite = Smoke or Core and Category = Manual UI.</t>
        </is>
      </c>
    </row>
    <row r="15" ht="141" customHeight="1">
      <c r="A15" s="3" t="inlineStr">
        <is>
          <t>Categories - how to run</t>
        </is>
      </c>
      <c r="B15" s="4" t="inlineStr">
        <is>
          <t>Manual UI: browser plus the test accounts; nothing to install.  Manual + DB: also needs the Supabase SQL editor on the TEST project to read a table or change a value (for example set access_status = 'suspended'); never on production.  Direct API call: in browser DevTools → Network, right-click the server-function request (POST /_serverFn/...) → Copy as cURL, edit the body or remove the cookie header, run it in Terminal.  Stub (temp edit): temporarily edit the server file so a dependency fails (for example make sendEmail throw), run the app locally, test, then revert with git checkout -- &lt;file&gt;; note the edit in Notes.  Unit (needs runner): the repo has no test runner yet - mark Blocked until Vitest is added, or run it as a code-review check.  Config check: look at the Supabase dashboard setting named in the case.  Exploratory: investigation - judge Pass/Fail by the stated Pass criteria and write what you observed in Actual Result.</t>
        </is>
      </c>
    </row>
    <row r="16" ht="66" customHeight="1">
      <c r="A16" s="3" t="inlineStr">
        <is>
          <t>Assumptions</t>
        </is>
      </c>
      <c r="B16" s="4" t="inlineStr">
        <is>
          <t>1) Test cases follow the code as written, not the project brief where they differ (roles: the code has applicant, staff, supervisor, cashier, admin, system_admin; dashboards redirect to per-role routes - see F-22).  2) Supabase defaults apply unless noted (OTP expiry 1 h, rate limits).  3) Messages quoted are the current UI strings and may change.  4) Cases marked 'Verify' in Findings depend on runtime behaviour I could not observe from the code alone.</t>
        </is>
      </c>
    </row>
    <row r="17" ht="51" customHeight="1">
      <c r="A17" s="3" t="inlineStr">
        <is>
          <t>Suggested execution order</t>
        </is>
      </c>
      <c r="B17" s="4" t="inlineStr">
        <is>
          <t>Test Accounts setup → Login → Registration → OTP → Forgot / Reset → Change password → OAuth &amp; callback → Session &amp; access control → Logout → Invitation → Audit. Run High priority first; run Security and Boundary cases in a throwaway project.</t>
        </is>
      </c>
    </row>
    <row r="19">
      <c r="A19" s="5" t="inlineStr">
        <is>
          <t>Example of a completed row</t>
        </is>
      </c>
    </row>
    <row r="20">
      <c r="A20" s="6" t="inlineStr">
        <is>
          <t>(illustration only - not real data)</t>
        </is>
      </c>
    </row>
    <row r="21">
      <c r="A21" s="7" t="inlineStr">
        <is>
          <t>Actual Result</t>
        </is>
      </c>
      <c r="B21" s="4" t="inlineStr">
        <is>
          <t>Alert 'Sign in failed' shown; no session cookie; one sign_in_failed event written.</t>
        </is>
      </c>
    </row>
    <row r="22">
      <c r="A22" s="7" t="inlineStr">
        <is>
          <t>Status</t>
        </is>
      </c>
      <c r="B22" s="4" t="inlineStr">
        <is>
          <t>Pass</t>
        </is>
      </c>
    </row>
    <row r="23">
      <c r="A23" s="7" t="inlineStr">
        <is>
          <t>Tester</t>
        </is>
      </c>
      <c r="B23" s="4" t="inlineStr">
        <is>
          <t>J. Dela Cruz</t>
        </is>
      </c>
    </row>
    <row r="24">
      <c r="A24" s="7" t="inlineStr">
        <is>
          <t>Date</t>
        </is>
      </c>
      <c r="B24" s="4" t="inlineStr">
        <is>
          <t>2026-10-12</t>
        </is>
      </c>
    </row>
    <row r="25">
      <c r="A25" s="7" t="inlineStr">
        <is>
          <t>Defect ID / Notes</t>
        </is>
      </c>
      <c r="B25" s="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54"/>
  <sheetViews>
    <sheetView showGridLines="0" zoomScale="10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CiviCheck - Authentication Test Summary</t>
        </is>
      </c>
    </row>
    <row r="2">
      <c r="A2" s="6" t="inlineStr">
        <is>
          <t>All figures are live formulas over the 'Test Cases', 'Coverage Matrix' and 'Findings' sheets.</t>
        </is>
      </c>
    </row>
    <row r="4">
      <c r="A4" s="8" t="inlineStr">
        <is>
          <t>Execution status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10" t="inlineStr">
        <is>
          <t>Total test cases</t>
        </is>
      </c>
      <c r="B5" s="11">
        <f>COUNTA('Test Cases'!$A$5:$A$1000)</f>
        <v/>
      </c>
      <c r="D5" s="12" t="inlineStr">
        <is>
          <t>Requirement / branch coverage</t>
        </is>
      </c>
    </row>
    <row r="6">
      <c r="A6" s="10" t="inlineStr">
        <is>
          <t>Pass</t>
        </is>
      </c>
      <c r="B6" s="11">
        <f>COUNTIF('Test Cases'!$Q$5:$Q$1000,"Pass")</f>
        <v/>
      </c>
      <c r="D6" s="13" t="inlineStr">
        <is>
          <t>Items identified</t>
        </is>
      </c>
      <c r="H6" s="11">
        <f>'Coverage Matrix'!E3</f>
        <v/>
      </c>
    </row>
    <row r="7">
      <c r="A7" s="10" t="inlineStr">
        <is>
          <t>Fail</t>
        </is>
      </c>
      <c r="B7" s="11">
        <f>COUNTIF('Test Cases'!$Q$5:$Q$1000,"Fail")</f>
        <v/>
      </c>
      <c r="D7" s="13" t="inlineStr">
        <is>
          <t>Items covered</t>
        </is>
      </c>
      <c r="H7" s="11">
        <f>'Coverage Matrix'!E4</f>
        <v/>
      </c>
    </row>
    <row r="8">
      <c r="A8" s="10" t="inlineStr">
        <is>
          <t>Blocked</t>
        </is>
      </c>
      <c r="B8" s="11">
        <f>COUNTIF('Test Cases'!$Q$5:$Q$1000,"Blocked")</f>
        <v/>
      </c>
      <c r="D8" s="13" t="inlineStr">
        <is>
          <t>Items with 2+ test cases</t>
        </is>
      </c>
      <c r="H8" s="11">
        <f>'Coverage Matrix'!E6</f>
        <v/>
      </c>
    </row>
    <row r="9">
      <c r="A9" s="10" t="inlineStr">
        <is>
          <t>Skipped</t>
        </is>
      </c>
      <c r="B9" s="11">
        <f>COUNTIF('Test Cases'!$Q$5:$Q$1000,"Skipped")</f>
        <v/>
      </c>
      <c r="D9" s="13" t="inlineStr">
        <is>
          <t>Items verified (≥1 Pass)</t>
        </is>
      </c>
      <c r="H9" s="11">
        <f>'Coverage Matrix'!E7</f>
        <v/>
      </c>
    </row>
    <row r="10">
      <c r="A10" s="10" t="inlineStr">
        <is>
          <t>Not Run</t>
        </is>
      </c>
      <c r="B10" s="11">
        <f>COUNTIF('Test Cases'!$Q$5:$Q$1000,"Not Run")</f>
        <v/>
      </c>
      <c r="D10" s="12" t="inlineStr">
        <is>
          <t>Coverage (covered / identified)</t>
        </is>
      </c>
      <c r="H10" s="14">
        <f>'Coverage Matrix'!E5</f>
        <v/>
      </c>
    </row>
    <row r="11">
      <c r="A11" s="10" t="inlineStr">
        <is>
          <t>Execution progress (not 'Not Run')</t>
        </is>
      </c>
      <c r="B11" s="15">
        <f>IF(B5=0,0,(B5-B10)/B5)</f>
        <v/>
      </c>
      <c r="D11" s="12" t="inlineStr">
        <is>
          <t>Verified coverage (executed)</t>
        </is>
      </c>
      <c r="H11" s="14">
        <f>'Coverage Matrix'!E8</f>
        <v/>
      </c>
    </row>
    <row r="12">
      <c r="A12" s="10" t="inlineStr">
        <is>
          <t>Pass rate (Pass / Pass+Fail)</t>
        </is>
      </c>
      <c r="B12" s="15">
        <f>IF((B6+B7)=0,"n/a",B6/(B6+B7))</f>
        <v/>
      </c>
    </row>
    <row r="14">
      <c r="A14" s="8" t="inlineStr">
        <is>
          <t>Test cases by sub-module and type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16" t="inlineStr">
        <is>
          <t>Sub-module</t>
        </is>
      </c>
      <c r="B15" s="16" t="inlineStr">
        <is>
          <t>Total</t>
        </is>
      </c>
      <c r="C15" s="16" t="inlineStr">
        <is>
          <t>Positive</t>
        </is>
      </c>
      <c r="D15" s="16" t="inlineStr">
        <is>
          <t>Negative</t>
        </is>
      </c>
      <c r="E15" s="16" t="inlineStr">
        <is>
          <t>Boundary</t>
        </is>
      </c>
      <c r="F15" s="16" t="inlineStr">
        <is>
          <t>Edge</t>
        </is>
      </c>
      <c r="G15" s="16" t="inlineStr">
        <is>
          <t>Security</t>
        </is>
      </c>
      <c r="H15" s="16" t="inlineStr">
        <is>
          <t>Pass</t>
        </is>
      </c>
      <c r="I15" s="16" t="inlineStr">
        <is>
          <t>Fail</t>
        </is>
      </c>
      <c r="J15" s="16" t="inlineStr">
        <is>
          <t>Blocked</t>
        </is>
      </c>
      <c r="K15" s="16" t="inlineStr">
        <is>
          <t>Not Run</t>
        </is>
      </c>
    </row>
    <row r="16">
      <c r="A16" s="10" t="inlineStr">
        <is>
          <t>Login</t>
        </is>
      </c>
      <c r="B16" s="17">
        <f>COUNTIF('Test Cases'!$B$5:$B$1000,$A16)</f>
        <v/>
      </c>
      <c r="C16" s="17">
        <f>COUNTIFS('Test Cases'!$B$5:$B$1000,$A16,'Test Cases'!$D$5:$D$1000,C$15)</f>
        <v/>
      </c>
      <c r="D16" s="17">
        <f>COUNTIFS('Test Cases'!$B$5:$B$1000,$A16,'Test Cases'!$D$5:$D$1000,D$15)</f>
        <v/>
      </c>
      <c r="E16" s="17">
        <f>COUNTIFS('Test Cases'!$B$5:$B$1000,$A16,'Test Cases'!$D$5:$D$1000,E$15)</f>
        <v/>
      </c>
      <c r="F16" s="17">
        <f>COUNTIFS('Test Cases'!$B$5:$B$1000,$A16,'Test Cases'!$D$5:$D$1000,F$15)</f>
        <v/>
      </c>
      <c r="G16" s="17">
        <f>COUNTIFS('Test Cases'!$B$5:$B$1000,$A16,'Test Cases'!$D$5:$D$1000,G$15)</f>
        <v/>
      </c>
      <c r="H16" s="17">
        <f>COUNTIFS('Test Cases'!$B$5:$B$1000,$A16,'Test Cases'!$Q$5:$Q$1000,H$15)</f>
        <v/>
      </c>
      <c r="I16" s="17">
        <f>COUNTIFS('Test Cases'!$B$5:$B$1000,$A16,'Test Cases'!$Q$5:$Q$1000,I$15)</f>
        <v/>
      </c>
      <c r="J16" s="17">
        <f>COUNTIFS('Test Cases'!$B$5:$B$1000,$A16,'Test Cases'!$Q$5:$Q$1000,J$15)</f>
        <v/>
      </c>
      <c r="K16" s="17">
        <f>COUNTIFS('Test Cases'!$B$5:$B$1000,$A16,'Test Cases'!$Q$5:$Q$1000,K$15)</f>
        <v/>
      </c>
    </row>
    <row r="17">
      <c r="A17" s="10" t="inlineStr">
        <is>
          <t>Registration</t>
        </is>
      </c>
      <c r="B17" s="17">
        <f>COUNTIF('Test Cases'!$B$5:$B$1000,$A17)</f>
        <v/>
      </c>
      <c r="C17" s="17">
        <f>COUNTIFS('Test Cases'!$B$5:$B$1000,$A17,'Test Cases'!$D$5:$D$1000,C$15)</f>
        <v/>
      </c>
      <c r="D17" s="17">
        <f>COUNTIFS('Test Cases'!$B$5:$B$1000,$A17,'Test Cases'!$D$5:$D$1000,D$15)</f>
        <v/>
      </c>
      <c r="E17" s="17">
        <f>COUNTIFS('Test Cases'!$B$5:$B$1000,$A17,'Test Cases'!$D$5:$D$1000,E$15)</f>
        <v/>
      </c>
      <c r="F17" s="17">
        <f>COUNTIFS('Test Cases'!$B$5:$B$1000,$A17,'Test Cases'!$D$5:$D$1000,F$15)</f>
        <v/>
      </c>
      <c r="G17" s="17">
        <f>COUNTIFS('Test Cases'!$B$5:$B$1000,$A17,'Test Cases'!$D$5:$D$1000,G$15)</f>
        <v/>
      </c>
      <c r="H17" s="17">
        <f>COUNTIFS('Test Cases'!$B$5:$B$1000,$A17,'Test Cases'!$Q$5:$Q$1000,H$15)</f>
        <v/>
      </c>
      <c r="I17" s="17">
        <f>COUNTIFS('Test Cases'!$B$5:$B$1000,$A17,'Test Cases'!$Q$5:$Q$1000,I$15)</f>
        <v/>
      </c>
      <c r="J17" s="17">
        <f>COUNTIFS('Test Cases'!$B$5:$B$1000,$A17,'Test Cases'!$Q$5:$Q$1000,J$15)</f>
        <v/>
      </c>
      <c r="K17" s="17">
        <f>COUNTIFS('Test Cases'!$B$5:$B$1000,$A17,'Test Cases'!$Q$5:$Q$1000,K$15)</f>
        <v/>
      </c>
    </row>
    <row r="18">
      <c r="A18" s="10" t="inlineStr">
        <is>
          <t>Email OTP verification</t>
        </is>
      </c>
      <c r="B18" s="17">
        <f>COUNTIF('Test Cases'!$B$5:$B$1000,$A18)</f>
        <v/>
      </c>
      <c r="C18" s="17">
        <f>COUNTIFS('Test Cases'!$B$5:$B$1000,$A18,'Test Cases'!$D$5:$D$1000,C$15)</f>
        <v/>
      </c>
      <c r="D18" s="17">
        <f>COUNTIFS('Test Cases'!$B$5:$B$1000,$A18,'Test Cases'!$D$5:$D$1000,D$15)</f>
        <v/>
      </c>
      <c r="E18" s="17">
        <f>COUNTIFS('Test Cases'!$B$5:$B$1000,$A18,'Test Cases'!$D$5:$D$1000,E$15)</f>
        <v/>
      </c>
      <c r="F18" s="17">
        <f>COUNTIFS('Test Cases'!$B$5:$B$1000,$A18,'Test Cases'!$D$5:$D$1000,F$15)</f>
        <v/>
      </c>
      <c r="G18" s="17">
        <f>COUNTIFS('Test Cases'!$B$5:$B$1000,$A18,'Test Cases'!$D$5:$D$1000,G$15)</f>
        <v/>
      </c>
      <c r="H18" s="17">
        <f>COUNTIFS('Test Cases'!$B$5:$B$1000,$A18,'Test Cases'!$Q$5:$Q$1000,H$15)</f>
        <v/>
      </c>
      <c r="I18" s="17">
        <f>COUNTIFS('Test Cases'!$B$5:$B$1000,$A18,'Test Cases'!$Q$5:$Q$1000,I$15)</f>
        <v/>
      </c>
      <c r="J18" s="17">
        <f>COUNTIFS('Test Cases'!$B$5:$B$1000,$A18,'Test Cases'!$Q$5:$Q$1000,J$15)</f>
        <v/>
      </c>
      <c r="K18" s="17">
        <f>COUNTIFS('Test Cases'!$B$5:$B$1000,$A18,'Test Cases'!$Q$5:$Q$1000,K$15)</f>
        <v/>
      </c>
    </row>
    <row r="19">
      <c r="A19" s="10" t="inlineStr">
        <is>
          <t>Auth emails</t>
        </is>
      </c>
      <c r="B19" s="17">
        <f>COUNTIF('Test Cases'!$B$5:$B$1000,$A19)</f>
        <v/>
      </c>
      <c r="C19" s="17">
        <f>COUNTIFS('Test Cases'!$B$5:$B$1000,$A19,'Test Cases'!$D$5:$D$1000,C$15)</f>
        <v/>
      </c>
      <c r="D19" s="17">
        <f>COUNTIFS('Test Cases'!$B$5:$B$1000,$A19,'Test Cases'!$D$5:$D$1000,D$15)</f>
        <v/>
      </c>
      <c r="E19" s="17">
        <f>COUNTIFS('Test Cases'!$B$5:$B$1000,$A19,'Test Cases'!$D$5:$D$1000,E$15)</f>
        <v/>
      </c>
      <c r="F19" s="17">
        <f>COUNTIFS('Test Cases'!$B$5:$B$1000,$A19,'Test Cases'!$D$5:$D$1000,F$15)</f>
        <v/>
      </c>
      <c r="G19" s="17">
        <f>COUNTIFS('Test Cases'!$B$5:$B$1000,$A19,'Test Cases'!$D$5:$D$1000,G$15)</f>
        <v/>
      </c>
      <c r="H19" s="17">
        <f>COUNTIFS('Test Cases'!$B$5:$B$1000,$A19,'Test Cases'!$Q$5:$Q$1000,H$15)</f>
        <v/>
      </c>
      <c r="I19" s="17">
        <f>COUNTIFS('Test Cases'!$B$5:$B$1000,$A19,'Test Cases'!$Q$5:$Q$1000,I$15)</f>
        <v/>
      </c>
      <c r="J19" s="17">
        <f>COUNTIFS('Test Cases'!$B$5:$B$1000,$A19,'Test Cases'!$Q$5:$Q$1000,J$15)</f>
        <v/>
      </c>
      <c r="K19" s="17">
        <f>COUNTIFS('Test Cases'!$B$5:$B$1000,$A19,'Test Cases'!$Q$5:$Q$1000,K$15)</f>
        <v/>
      </c>
    </row>
    <row r="20">
      <c r="A20" s="10" t="inlineStr">
        <is>
          <t>Forgot password</t>
        </is>
      </c>
      <c r="B20" s="17">
        <f>COUNTIF('Test Cases'!$B$5:$B$1000,$A20)</f>
        <v/>
      </c>
      <c r="C20" s="17">
        <f>COUNTIFS('Test Cases'!$B$5:$B$1000,$A20,'Test Cases'!$D$5:$D$1000,C$15)</f>
        <v/>
      </c>
      <c r="D20" s="17">
        <f>COUNTIFS('Test Cases'!$B$5:$B$1000,$A20,'Test Cases'!$D$5:$D$1000,D$15)</f>
        <v/>
      </c>
      <c r="E20" s="17">
        <f>COUNTIFS('Test Cases'!$B$5:$B$1000,$A20,'Test Cases'!$D$5:$D$1000,E$15)</f>
        <v/>
      </c>
      <c r="F20" s="17">
        <f>COUNTIFS('Test Cases'!$B$5:$B$1000,$A20,'Test Cases'!$D$5:$D$1000,F$15)</f>
        <v/>
      </c>
      <c r="G20" s="17">
        <f>COUNTIFS('Test Cases'!$B$5:$B$1000,$A20,'Test Cases'!$D$5:$D$1000,G$15)</f>
        <v/>
      </c>
      <c r="H20" s="17">
        <f>COUNTIFS('Test Cases'!$B$5:$B$1000,$A20,'Test Cases'!$Q$5:$Q$1000,H$15)</f>
        <v/>
      </c>
      <c r="I20" s="17">
        <f>COUNTIFS('Test Cases'!$B$5:$B$1000,$A20,'Test Cases'!$Q$5:$Q$1000,I$15)</f>
        <v/>
      </c>
      <c r="J20" s="17">
        <f>COUNTIFS('Test Cases'!$B$5:$B$1000,$A20,'Test Cases'!$Q$5:$Q$1000,J$15)</f>
        <v/>
      </c>
      <c r="K20" s="17">
        <f>COUNTIFS('Test Cases'!$B$5:$B$1000,$A20,'Test Cases'!$Q$5:$Q$1000,K$15)</f>
        <v/>
      </c>
    </row>
    <row r="21">
      <c r="A21" s="10" t="inlineStr">
        <is>
          <t>Reset password</t>
        </is>
      </c>
      <c r="B21" s="17">
        <f>COUNTIF('Test Cases'!$B$5:$B$1000,$A21)</f>
        <v/>
      </c>
      <c r="C21" s="17">
        <f>COUNTIFS('Test Cases'!$B$5:$B$1000,$A21,'Test Cases'!$D$5:$D$1000,C$15)</f>
        <v/>
      </c>
      <c r="D21" s="17">
        <f>COUNTIFS('Test Cases'!$B$5:$B$1000,$A21,'Test Cases'!$D$5:$D$1000,D$15)</f>
        <v/>
      </c>
      <c r="E21" s="17">
        <f>COUNTIFS('Test Cases'!$B$5:$B$1000,$A21,'Test Cases'!$D$5:$D$1000,E$15)</f>
        <v/>
      </c>
      <c r="F21" s="17">
        <f>COUNTIFS('Test Cases'!$B$5:$B$1000,$A21,'Test Cases'!$D$5:$D$1000,F$15)</f>
        <v/>
      </c>
      <c r="G21" s="17">
        <f>COUNTIFS('Test Cases'!$B$5:$B$1000,$A21,'Test Cases'!$D$5:$D$1000,G$15)</f>
        <v/>
      </c>
      <c r="H21" s="17">
        <f>COUNTIFS('Test Cases'!$B$5:$B$1000,$A21,'Test Cases'!$Q$5:$Q$1000,H$15)</f>
        <v/>
      </c>
      <c r="I21" s="17">
        <f>COUNTIFS('Test Cases'!$B$5:$B$1000,$A21,'Test Cases'!$Q$5:$Q$1000,I$15)</f>
        <v/>
      </c>
      <c r="J21" s="17">
        <f>COUNTIFS('Test Cases'!$B$5:$B$1000,$A21,'Test Cases'!$Q$5:$Q$1000,J$15)</f>
        <v/>
      </c>
      <c r="K21" s="17">
        <f>COUNTIFS('Test Cases'!$B$5:$B$1000,$A21,'Test Cases'!$Q$5:$Q$1000,K$15)</f>
        <v/>
      </c>
    </row>
    <row r="22">
      <c r="A22" s="10" t="inlineStr">
        <is>
          <t>Change password</t>
        </is>
      </c>
      <c r="B22" s="17">
        <f>COUNTIF('Test Cases'!$B$5:$B$1000,$A22)</f>
        <v/>
      </c>
      <c r="C22" s="17">
        <f>COUNTIFS('Test Cases'!$B$5:$B$1000,$A22,'Test Cases'!$D$5:$D$1000,C$15)</f>
        <v/>
      </c>
      <c r="D22" s="17">
        <f>COUNTIFS('Test Cases'!$B$5:$B$1000,$A22,'Test Cases'!$D$5:$D$1000,D$15)</f>
        <v/>
      </c>
      <c r="E22" s="17">
        <f>COUNTIFS('Test Cases'!$B$5:$B$1000,$A22,'Test Cases'!$D$5:$D$1000,E$15)</f>
        <v/>
      </c>
      <c r="F22" s="17">
        <f>COUNTIFS('Test Cases'!$B$5:$B$1000,$A22,'Test Cases'!$D$5:$D$1000,F$15)</f>
        <v/>
      </c>
      <c r="G22" s="17">
        <f>COUNTIFS('Test Cases'!$B$5:$B$1000,$A22,'Test Cases'!$D$5:$D$1000,G$15)</f>
        <v/>
      </c>
      <c r="H22" s="17">
        <f>COUNTIFS('Test Cases'!$B$5:$B$1000,$A22,'Test Cases'!$Q$5:$Q$1000,H$15)</f>
        <v/>
      </c>
      <c r="I22" s="17">
        <f>COUNTIFS('Test Cases'!$B$5:$B$1000,$A22,'Test Cases'!$Q$5:$Q$1000,I$15)</f>
        <v/>
      </c>
      <c r="J22" s="17">
        <f>COUNTIFS('Test Cases'!$B$5:$B$1000,$A22,'Test Cases'!$Q$5:$Q$1000,J$15)</f>
        <v/>
      </c>
      <c r="K22" s="17">
        <f>COUNTIFS('Test Cases'!$B$5:$B$1000,$A22,'Test Cases'!$Q$5:$Q$1000,K$15)</f>
        <v/>
      </c>
    </row>
    <row r="23">
      <c r="A23" s="10" t="inlineStr">
        <is>
          <t>OAuth &amp; callback</t>
        </is>
      </c>
      <c r="B23" s="17">
        <f>COUNTIF('Test Cases'!$B$5:$B$1000,$A23)</f>
        <v/>
      </c>
      <c r="C23" s="17">
        <f>COUNTIFS('Test Cases'!$B$5:$B$1000,$A23,'Test Cases'!$D$5:$D$1000,C$15)</f>
        <v/>
      </c>
      <c r="D23" s="17">
        <f>COUNTIFS('Test Cases'!$B$5:$B$1000,$A23,'Test Cases'!$D$5:$D$1000,D$15)</f>
        <v/>
      </c>
      <c r="E23" s="17">
        <f>COUNTIFS('Test Cases'!$B$5:$B$1000,$A23,'Test Cases'!$D$5:$D$1000,E$15)</f>
        <v/>
      </c>
      <c r="F23" s="17">
        <f>COUNTIFS('Test Cases'!$B$5:$B$1000,$A23,'Test Cases'!$D$5:$D$1000,F$15)</f>
        <v/>
      </c>
      <c r="G23" s="17">
        <f>COUNTIFS('Test Cases'!$B$5:$B$1000,$A23,'Test Cases'!$D$5:$D$1000,G$15)</f>
        <v/>
      </c>
      <c r="H23" s="17">
        <f>COUNTIFS('Test Cases'!$B$5:$B$1000,$A23,'Test Cases'!$Q$5:$Q$1000,H$15)</f>
        <v/>
      </c>
      <c r="I23" s="17">
        <f>COUNTIFS('Test Cases'!$B$5:$B$1000,$A23,'Test Cases'!$Q$5:$Q$1000,I$15)</f>
        <v/>
      </c>
      <c r="J23" s="17">
        <f>COUNTIFS('Test Cases'!$B$5:$B$1000,$A23,'Test Cases'!$Q$5:$Q$1000,J$15)</f>
        <v/>
      </c>
      <c r="K23" s="17">
        <f>COUNTIFS('Test Cases'!$B$5:$B$1000,$A23,'Test Cases'!$Q$5:$Q$1000,K$15)</f>
        <v/>
      </c>
    </row>
    <row r="24">
      <c r="A24" s="10" t="inlineStr">
        <is>
          <t>Session &amp; access control</t>
        </is>
      </c>
      <c r="B24" s="17">
        <f>COUNTIF('Test Cases'!$B$5:$B$1000,$A24)</f>
        <v/>
      </c>
      <c r="C24" s="17">
        <f>COUNTIFS('Test Cases'!$B$5:$B$1000,$A24,'Test Cases'!$D$5:$D$1000,C$15)</f>
        <v/>
      </c>
      <c r="D24" s="17">
        <f>COUNTIFS('Test Cases'!$B$5:$B$1000,$A24,'Test Cases'!$D$5:$D$1000,D$15)</f>
        <v/>
      </c>
      <c r="E24" s="17">
        <f>COUNTIFS('Test Cases'!$B$5:$B$1000,$A24,'Test Cases'!$D$5:$D$1000,E$15)</f>
        <v/>
      </c>
      <c r="F24" s="17">
        <f>COUNTIFS('Test Cases'!$B$5:$B$1000,$A24,'Test Cases'!$D$5:$D$1000,F$15)</f>
        <v/>
      </c>
      <c r="G24" s="17">
        <f>COUNTIFS('Test Cases'!$B$5:$B$1000,$A24,'Test Cases'!$D$5:$D$1000,G$15)</f>
        <v/>
      </c>
      <c r="H24" s="17">
        <f>COUNTIFS('Test Cases'!$B$5:$B$1000,$A24,'Test Cases'!$Q$5:$Q$1000,H$15)</f>
        <v/>
      </c>
      <c r="I24" s="17">
        <f>COUNTIFS('Test Cases'!$B$5:$B$1000,$A24,'Test Cases'!$Q$5:$Q$1000,I$15)</f>
        <v/>
      </c>
      <c r="J24" s="17">
        <f>COUNTIFS('Test Cases'!$B$5:$B$1000,$A24,'Test Cases'!$Q$5:$Q$1000,J$15)</f>
        <v/>
      </c>
      <c r="K24" s="17">
        <f>COUNTIFS('Test Cases'!$B$5:$B$1000,$A24,'Test Cases'!$Q$5:$Q$1000,K$15)</f>
        <v/>
      </c>
    </row>
    <row r="25">
      <c r="A25" s="10" t="inlineStr">
        <is>
          <t>Logout</t>
        </is>
      </c>
      <c r="B25" s="17">
        <f>COUNTIF('Test Cases'!$B$5:$B$1000,$A25)</f>
        <v/>
      </c>
      <c r="C25" s="17">
        <f>COUNTIFS('Test Cases'!$B$5:$B$1000,$A25,'Test Cases'!$D$5:$D$1000,C$15)</f>
        <v/>
      </c>
      <c r="D25" s="17">
        <f>COUNTIFS('Test Cases'!$B$5:$B$1000,$A25,'Test Cases'!$D$5:$D$1000,D$15)</f>
        <v/>
      </c>
      <c r="E25" s="17">
        <f>COUNTIFS('Test Cases'!$B$5:$B$1000,$A25,'Test Cases'!$D$5:$D$1000,E$15)</f>
        <v/>
      </c>
      <c r="F25" s="17">
        <f>COUNTIFS('Test Cases'!$B$5:$B$1000,$A25,'Test Cases'!$D$5:$D$1000,F$15)</f>
        <v/>
      </c>
      <c r="G25" s="17">
        <f>COUNTIFS('Test Cases'!$B$5:$B$1000,$A25,'Test Cases'!$D$5:$D$1000,G$15)</f>
        <v/>
      </c>
      <c r="H25" s="17">
        <f>COUNTIFS('Test Cases'!$B$5:$B$1000,$A25,'Test Cases'!$Q$5:$Q$1000,H$15)</f>
        <v/>
      </c>
      <c r="I25" s="17">
        <f>COUNTIFS('Test Cases'!$B$5:$B$1000,$A25,'Test Cases'!$Q$5:$Q$1000,I$15)</f>
        <v/>
      </c>
      <c r="J25" s="17">
        <f>COUNTIFS('Test Cases'!$B$5:$B$1000,$A25,'Test Cases'!$Q$5:$Q$1000,J$15)</f>
        <v/>
      </c>
      <c r="K25" s="17">
        <f>COUNTIFS('Test Cases'!$B$5:$B$1000,$A25,'Test Cases'!$Q$5:$Q$1000,K$15)</f>
        <v/>
      </c>
    </row>
    <row r="26">
      <c r="A26" s="10" t="inlineStr">
        <is>
          <t>Staff invitation</t>
        </is>
      </c>
      <c r="B26" s="17">
        <f>COUNTIF('Test Cases'!$B$5:$B$1000,$A26)</f>
        <v/>
      </c>
      <c r="C26" s="17">
        <f>COUNTIFS('Test Cases'!$B$5:$B$1000,$A26,'Test Cases'!$D$5:$D$1000,C$15)</f>
        <v/>
      </c>
      <c r="D26" s="17">
        <f>COUNTIFS('Test Cases'!$B$5:$B$1000,$A26,'Test Cases'!$D$5:$D$1000,D$15)</f>
        <v/>
      </c>
      <c r="E26" s="17">
        <f>COUNTIFS('Test Cases'!$B$5:$B$1000,$A26,'Test Cases'!$D$5:$D$1000,E$15)</f>
        <v/>
      </c>
      <c r="F26" s="17">
        <f>COUNTIFS('Test Cases'!$B$5:$B$1000,$A26,'Test Cases'!$D$5:$D$1000,F$15)</f>
        <v/>
      </c>
      <c r="G26" s="17">
        <f>COUNTIFS('Test Cases'!$B$5:$B$1000,$A26,'Test Cases'!$D$5:$D$1000,G$15)</f>
        <v/>
      </c>
      <c r="H26" s="17">
        <f>COUNTIFS('Test Cases'!$B$5:$B$1000,$A26,'Test Cases'!$Q$5:$Q$1000,H$15)</f>
        <v/>
      </c>
      <c r="I26" s="17">
        <f>COUNTIFS('Test Cases'!$B$5:$B$1000,$A26,'Test Cases'!$Q$5:$Q$1000,I$15)</f>
        <v/>
      </c>
      <c r="J26" s="17">
        <f>COUNTIFS('Test Cases'!$B$5:$B$1000,$A26,'Test Cases'!$Q$5:$Q$1000,J$15)</f>
        <v/>
      </c>
      <c r="K26" s="17">
        <f>COUNTIFS('Test Cases'!$B$5:$B$1000,$A26,'Test Cases'!$Q$5:$Q$1000,K$15)</f>
        <v/>
      </c>
    </row>
    <row r="27">
      <c r="A27" s="10" t="inlineStr">
        <is>
          <t>Audit &amp; security events</t>
        </is>
      </c>
      <c r="B27" s="17">
        <f>COUNTIF('Test Cases'!$B$5:$B$1000,$A27)</f>
        <v/>
      </c>
      <c r="C27" s="17">
        <f>COUNTIFS('Test Cases'!$B$5:$B$1000,$A27,'Test Cases'!$D$5:$D$1000,C$15)</f>
        <v/>
      </c>
      <c r="D27" s="17">
        <f>COUNTIFS('Test Cases'!$B$5:$B$1000,$A27,'Test Cases'!$D$5:$D$1000,D$15)</f>
        <v/>
      </c>
      <c r="E27" s="17">
        <f>COUNTIFS('Test Cases'!$B$5:$B$1000,$A27,'Test Cases'!$D$5:$D$1000,E$15)</f>
        <v/>
      </c>
      <c r="F27" s="17">
        <f>COUNTIFS('Test Cases'!$B$5:$B$1000,$A27,'Test Cases'!$D$5:$D$1000,F$15)</f>
        <v/>
      </c>
      <c r="G27" s="17">
        <f>COUNTIFS('Test Cases'!$B$5:$B$1000,$A27,'Test Cases'!$D$5:$D$1000,G$15)</f>
        <v/>
      </c>
      <c r="H27" s="17">
        <f>COUNTIFS('Test Cases'!$B$5:$B$1000,$A27,'Test Cases'!$Q$5:$Q$1000,H$15)</f>
        <v/>
      </c>
      <c r="I27" s="17">
        <f>COUNTIFS('Test Cases'!$B$5:$B$1000,$A27,'Test Cases'!$Q$5:$Q$1000,I$15)</f>
        <v/>
      </c>
      <c r="J27" s="17">
        <f>COUNTIFS('Test Cases'!$B$5:$B$1000,$A27,'Test Cases'!$Q$5:$Q$1000,J$15)</f>
        <v/>
      </c>
      <c r="K27" s="17">
        <f>COUNTIFS('Test Cases'!$B$5:$B$1000,$A27,'Test Cases'!$Q$5:$Q$1000,K$15)</f>
        <v/>
      </c>
    </row>
    <row r="28">
      <c r="A28" s="18" t="inlineStr">
        <is>
          <t>Total</t>
        </is>
      </c>
      <c r="B28" s="19">
        <f>SUM(B16:B27)</f>
        <v/>
      </c>
      <c r="C28" s="19">
        <f>SUM(C16:C27)</f>
        <v/>
      </c>
      <c r="D28" s="19">
        <f>SUM(D16:D27)</f>
        <v/>
      </c>
      <c r="E28" s="19">
        <f>SUM(E16:E27)</f>
        <v/>
      </c>
      <c r="F28" s="19">
        <f>SUM(F16:F27)</f>
        <v/>
      </c>
      <c r="G28" s="19">
        <f>SUM(G16:G27)</f>
        <v/>
      </c>
      <c r="H28" s="19">
        <f>SUM(H16:H27)</f>
        <v/>
      </c>
      <c r="I28" s="19">
        <f>SUM(I16:I27)</f>
        <v/>
      </c>
      <c r="J28" s="19">
        <f>SUM(J16:J27)</f>
        <v/>
      </c>
      <c r="K28" s="19">
        <f>SUM(K16:K27)</f>
        <v/>
      </c>
    </row>
    <row r="30">
      <c r="A30" s="8" t="inlineStr">
        <is>
          <t>By priority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20" t="inlineStr">
        <is>
          <t>Priority</t>
        </is>
      </c>
      <c r="B31" s="20" t="inlineStr">
        <is>
          <t>Total</t>
        </is>
      </c>
      <c r="C31" s="20" t="inlineStr">
        <is>
          <t>Pass</t>
        </is>
      </c>
      <c r="D31" s="20" t="inlineStr">
        <is>
          <t>Fail</t>
        </is>
      </c>
      <c r="E31" s="20" t="inlineStr">
        <is>
          <t>Blocked</t>
        </is>
      </c>
      <c r="F31" s="20" t="inlineStr">
        <is>
          <t>Not Run</t>
        </is>
      </c>
    </row>
    <row r="32">
      <c r="A32" s="10" t="inlineStr">
        <is>
          <t>High</t>
        </is>
      </c>
      <c r="B32" s="17">
        <f>COUNTIF('Test Cases'!$E$5:$E$1000,$A32)</f>
        <v/>
      </c>
      <c r="C32" s="17">
        <f>COUNTIFS('Test Cases'!$E$5:$E$1000,$A32,'Test Cases'!$Q$5:$Q$1000,C$31)</f>
        <v/>
      </c>
      <c r="D32" s="17">
        <f>COUNTIFS('Test Cases'!$E$5:$E$1000,$A32,'Test Cases'!$Q$5:$Q$1000,D$31)</f>
        <v/>
      </c>
      <c r="E32" s="17">
        <f>COUNTIFS('Test Cases'!$E$5:$E$1000,$A32,'Test Cases'!$Q$5:$Q$1000,E$31)</f>
        <v/>
      </c>
      <c r="F32" s="17">
        <f>COUNTIFS('Test Cases'!$E$5:$E$1000,$A32,'Test Cases'!$Q$5:$Q$1000,F$31)</f>
        <v/>
      </c>
    </row>
    <row r="33">
      <c r="A33" s="10" t="inlineStr">
        <is>
          <t>Medium</t>
        </is>
      </c>
      <c r="B33" s="17">
        <f>COUNTIF('Test Cases'!$E$5:$E$1000,$A33)</f>
        <v/>
      </c>
      <c r="C33" s="17">
        <f>COUNTIFS('Test Cases'!$E$5:$E$1000,$A33,'Test Cases'!$Q$5:$Q$1000,C$31)</f>
        <v/>
      </c>
      <c r="D33" s="17">
        <f>COUNTIFS('Test Cases'!$E$5:$E$1000,$A33,'Test Cases'!$Q$5:$Q$1000,D$31)</f>
        <v/>
      </c>
      <c r="E33" s="17">
        <f>COUNTIFS('Test Cases'!$E$5:$E$1000,$A33,'Test Cases'!$Q$5:$Q$1000,E$31)</f>
        <v/>
      </c>
      <c r="F33" s="17">
        <f>COUNTIFS('Test Cases'!$E$5:$E$1000,$A33,'Test Cases'!$Q$5:$Q$1000,F$31)</f>
        <v/>
      </c>
    </row>
    <row r="34">
      <c r="A34" s="10" t="inlineStr">
        <is>
          <t>Low</t>
        </is>
      </c>
      <c r="B34" s="17">
        <f>COUNTIF('Test Cases'!$E$5:$E$1000,$A34)</f>
        <v/>
      </c>
      <c r="C34" s="17">
        <f>COUNTIFS('Test Cases'!$E$5:$E$1000,$A34,'Test Cases'!$Q$5:$Q$1000,C$31)</f>
        <v/>
      </c>
      <c r="D34" s="17">
        <f>COUNTIFS('Test Cases'!$E$5:$E$1000,$A34,'Test Cases'!$Q$5:$Q$1000,D$31)</f>
        <v/>
      </c>
      <c r="E34" s="17">
        <f>COUNTIFS('Test Cases'!$E$5:$E$1000,$A34,'Test Cases'!$Q$5:$Q$1000,E$31)</f>
        <v/>
      </c>
      <c r="F34" s="17">
        <f>COUNTIFS('Test Cases'!$E$5:$E$1000,$A34,'Test Cases'!$Q$5:$Q$1000,F$31)</f>
        <v/>
      </c>
    </row>
    <row r="36">
      <c r="A36" s="8" t="inlineStr">
        <is>
          <t>By test level</t>
        </is>
      </c>
      <c r="B36" s="9" t="n"/>
      <c r="C36" s="9" t="n"/>
      <c r="D36" s="8" t="inlineStr">
        <is>
          <t>Findings by severity</t>
        </is>
      </c>
      <c r="E36" s="9" t="n"/>
      <c r="F36" s="9" t="n"/>
      <c r="G36" s="9" t="n"/>
      <c r="H36" s="9" t="n"/>
      <c r="I36" s="9" t="n"/>
      <c r="J36" s="9" t="n"/>
      <c r="K36" s="9" t="n"/>
    </row>
    <row r="37">
      <c r="A37" s="20" t="inlineStr">
        <is>
          <t>Level</t>
        </is>
      </c>
      <c r="B37" s="20" t="inlineStr">
        <is>
          <t>Total</t>
        </is>
      </c>
      <c r="D37" s="21" t="inlineStr">
        <is>
          <t>Severity</t>
        </is>
      </c>
      <c r="E37" s="22" t="n"/>
      <c r="F37" s="21" t="inlineStr">
        <is>
          <t>Count</t>
        </is>
      </c>
    </row>
    <row r="38">
      <c r="A38" s="10" t="inlineStr">
        <is>
          <t>UI</t>
        </is>
      </c>
      <c r="B38" s="17">
        <f>COUNTIF('Test Cases'!$F$5:$F$1000,$A38)</f>
        <v/>
      </c>
      <c r="D38" s="10" t="inlineStr">
        <is>
          <t>Critical</t>
        </is>
      </c>
      <c r="E38" s="23" t="n"/>
      <c r="F38" s="17">
        <f>COUNTIF(Findings!$B$5:$B$500,D38)</f>
        <v/>
      </c>
    </row>
    <row r="39">
      <c r="A39" s="10" t="inlineStr">
        <is>
          <t>API</t>
        </is>
      </c>
      <c r="B39" s="17">
        <f>COUNTIF('Test Cases'!$F$5:$F$1000,$A39)</f>
        <v/>
      </c>
      <c r="D39" s="10" t="inlineStr">
        <is>
          <t>High</t>
        </is>
      </c>
      <c r="E39" s="23" t="n"/>
      <c r="F39" s="17">
        <f>COUNTIF(Findings!$B$5:$B$500,D39)</f>
        <v/>
      </c>
    </row>
    <row r="40">
      <c r="A40" s="10" t="inlineStr">
        <is>
          <t>DB</t>
        </is>
      </c>
      <c r="B40" s="17">
        <f>COUNTIF('Test Cases'!$F$5:$F$1000,$A40)</f>
        <v/>
      </c>
      <c r="D40" s="10" t="inlineStr">
        <is>
          <t>Medium</t>
        </is>
      </c>
      <c r="E40" s="23" t="n"/>
      <c r="F40" s="17">
        <f>COUNTIF(Findings!$B$5:$B$500,D40)</f>
        <v/>
      </c>
    </row>
    <row r="41">
      <c r="A41" s="10" t="inlineStr">
        <is>
          <t>Unit</t>
        </is>
      </c>
      <c r="B41" s="17">
        <f>COUNTIF('Test Cases'!$F$5:$F$1000,$A41)</f>
        <v/>
      </c>
      <c r="D41" s="10" t="inlineStr">
        <is>
          <t>Low</t>
        </is>
      </c>
      <c r="E41" s="23" t="n"/>
      <c r="F41" s="17">
        <f>COUNTIF(Findings!$B$5:$B$500,D41)</f>
        <v/>
      </c>
    </row>
    <row r="42">
      <c r="A42" s="10" t="inlineStr">
        <is>
          <t>Config</t>
        </is>
      </c>
      <c r="B42" s="17">
        <f>COUNTIF('Test Cases'!$F$5:$F$1000,$A42)</f>
        <v/>
      </c>
      <c r="D42" s="10" t="inlineStr">
        <is>
          <t>Info</t>
        </is>
      </c>
      <c r="E42" s="23" t="n"/>
      <c r="F42" s="17">
        <f>COUNTIF(Findings!$B$5:$B$500,D42)</f>
        <v/>
      </c>
    </row>
    <row r="43">
      <c r="D43" s="18" t="inlineStr">
        <is>
          <t>Open findings</t>
        </is>
      </c>
      <c r="E43" s="24" t="n"/>
      <c r="F43" s="19">
        <f>COUNTIF(Findings!$K$5:$K$500,"Open")</f>
        <v/>
      </c>
    </row>
    <row r="46">
      <c r="A46" s="8" t="inlineStr">
        <is>
          <t>By category (what you need to run it)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A47" s="20" t="inlineStr">
        <is>
          <t>Category</t>
        </is>
      </c>
      <c r="B47" s="20" t="inlineStr">
        <is>
          <t>Total</t>
        </is>
      </c>
      <c r="C47" s="20" t="inlineStr">
        <is>
          <t>Pass</t>
        </is>
      </c>
      <c r="D47" s="20" t="inlineStr">
        <is>
          <t>Fail</t>
        </is>
      </c>
      <c r="E47" s="20" t="inlineStr">
        <is>
          <t>Not Run</t>
        </is>
      </c>
      <c r="G47" s="20" t="inlineStr">
        <is>
          <t>Suite</t>
        </is>
      </c>
      <c r="H47" s="20" t="inlineStr">
        <is>
          <t>Total</t>
        </is>
      </c>
      <c r="I47" s="20" t="inlineStr">
        <is>
          <t>Pass</t>
        </is>
      </c>
      <c r="J47" s="20" t="inlineStr">
        <is>
          <t>Fail</t>
        </is>
      </c>
      <c r="K47" s="20" t="inlineStr">
        <is>
          <t>Not Run</t>
        </is>
      </c>
    </row>
    <row r="48">
      <c r="A48" s="10" t="inlineStr">
        <is>
          <t>Manual UI</t>
        </is>
      </c>
      <c r="B48" s="17">
        <f>COUNTIF('Test Cases'!$G$5:$G$1000,$A48)</f>
        <v/>
      </c>
      <c r="C48" s="17">
        <f>COUNTIFS('Test Cases'!$G$5:$G$1000,$A48,'Test Cases'!$Q$5:$Q$1000,C$47)</f>
        <v/>
      </c>
      <c r="D48" s="17">
        <f>COUNTIFS('Test Cases'!$G$5:$G$1000,$A48,'Test Cases'!$Q$5:$Q$1000,D$47)</f>
        <v/>
      </c>
      <c r="E48" s="17">
        <f>COUNTIFS('Test Cases'!$G$5:$G$1000,$A48,'Test Cases'!$Q$5:$Q$1000,E$47)</f>
        <v/>
      </c>
      <c r="G48" s="10" t="inlineStr">
        <is>
          <t>Smoke</t>
        </is>
      </c>
      <c r="H48" s="17">
        <f>COUNTIF('Test Cases'!$H$5:$H$1000,$G48)</f>
        <v/>
      </c>
      <c r="I48" s="17">
        <f>COUNTIFS('Test Cases'!$H$5:$H$1000,$G48,'Test Cases'!$Q$5:$Q$1000,I$47)</f>
        <v/>
      </c>
      <c r="J48" s="17">
        <f>COUNTIFS('Test Cases'!$H$5:$H$1000,$G48,'Test Cases'!$Q$5:$Q$1000,J$47)</f>
        <v/>
      </c>
      <c r="K48" s="17">
        <f>COUNTIFS('Test Cases'!$H$5:$H$1000,$G48,'Test Cases'!$Q$5:$Q$1000,K$47)</f>
        <v/>
      </c>
    </row>
    <row r="49">
      <c r="A49" s="10" t="inlineStr">
        <is>
          <t>Manual + DB</t>
        </is>
      </c>
      <c r="B49" s="17">
        <f>COUNTIF('Test Cases'!$G$5:$G$1000,$A49)</f>
        <v/>
      </c>
      <c r="C49" s="17">
        <f>COUNTIFS('Test Cases'!$G$5:$G$1000,$A49,'Test Cases'!$Q$5:$Q$1000,C$47)</f>
        <v/>
      </c>
      <c r="D49" s="17">
        <f>COUNTIFS('Test Cases'!$G$5:$G$1000,$A49,'Test Cases'!$Q$5:$Q$1000,D$47)</f>
        <v/>
      </c>
      <c r="E49" s="17">
        <f>COUNTIFS('Test Cases'!$G$5:$G$1000,$A49,'Test Cases'!$Q$5:$Q$1000,E$47)</f>
        <v/>
      </c>
      <c r="G49" s="10" t="inlineStr">
        <is>
          <t>Core</t>
        </is>
      </c>
      <c r="H49" s="17">
        <f>COUNTIF('Test Cases'!$H$5:$H$1000,$G49)</f>
        <v/>
      </c>
      <c r="I49" s="17">
        <f>COUNTIFS('Test Cases'!$H$5:$H$1000,$G49,'Test Cases'!$Q$5:$Q$1000,I$47)</f>
        <v/>
      </c>
      <c r="J49" s="17">
        <f>COUNTIFS('Test Cases'!$H$5:$H$1000,$G49,'Test Cases'!$Q$5:$Q$1000,J$47)</f>
        <v/>
      </c>
      <c r="K49" s="17">
        <f>COUNTIFS('Test Cases'!$H$5:$H$1000,$G49,'Test Cases'!$Q$5:$Q$1000,K$47)</f>
        <v/>
      </c>
    </row>
    <row r="50">
      <c r="A50" s="10" t="inlineStr">
        <is>
          <t>Direct API call</t>
        </is>
      </c>
      <c r="B50" s="17">
        <f>COUNTIF('Test Cases'!$G$5:$G$1000,$A50)</f>
        <v/>
      </c>
      <c r="C50" s="17">
        <f>COUNTIFS('Test Cases'!$G$5:$G$1000,$A50,'Test Cases'!$Q$5:$Q$1000,C$47)</f>
        <v/>
      </c>
      <c r="D50" s="17">
        <f>COUNTIFS('Test Cases'!$G$5:$G$1000,$A50,'Test Cases'!$Q$5:$Q$1000,D$47)</f>
        <v/>
      </c>
      <c r="E50" s="17">
        <f>COUNTIFS('Test Cases'!$G$5:$G$1000,$A50,'Test Cases'!$Q$5:$Q$1000,E$47)</f>
        <v/>
      </c>
      <c r="G50" s="10" t="inlineStr">
        <is>
          <t>Extended</t>
        </is>
      </c>
      <c r="H50" s="17">
        <f>COUNTIF('Test Cases'!$H$5:$H$1000,$G50)</f>
        <v/>
      </c>
      <c r="I50" s="17">
        <f>COUNTIFS('Test Cases'!$H$5:$H$1000,$G50,'Test Cases'!$Q$5:$Q$1000,I$47)</f>
        <v/>
      </c>
      <c r="J50" s="17">
        <f>COUNTIFS('Test Cases'!$H$5:$H$1000,$G50,'Test Cases'!$Q$5:$Q$1000,J$47)</f>
        <v/>
      </c>
      <c r="K50" s="17">
        <f>COUNTIFS('Test Cases'!$H$5:$H$1000,$G50,'Test Cases'!$Q$5:$Q$1000,K$47)</f>
        <v/>
      </c>
    </row>
    <row r="51">
      <c r="A51" s="10" t="inlineStr">
        <is>
          <t>Stub (temp edit)</t>
        </is>
      </c>
      <c r="B51" s="17">
        <f>COUNTIF('Test Cases'!$G$5:$G$1000,$A51)</f>
        <v/>
      </c>
      <c r="C51" s="17">
        <f>COUNTIFS('Test Cases'!$G$5:$G$1000,$A51,'Test Cases'!$Q$5:$Q$1000,C$47)</f>
        <v/>
      </c>
      <c r="D51" s="17">
        <f>COUNTIFS('Test Cases'!$G$5:$G$1000,$A51,'Test Cases'!$Q$5:$Q$1000,D$47)</f>
        <v/>
      </c>
      <c r="E51" s="17">
        <f>COUNTIFS('Test Cases'!$G$5:$G$1000,$A51,'Test Cases'!$Q$5:$Q$1000,E$47)</f>
        <v/>
      </c>
    </row>
    <row r="52">
      <c r="A52" s="10" t="inlineStr">
        <is>
          <t>Unit (needs runner)</t>
        </is>
      </c>
      <c r="B52" s="17">
        <f>COUNTIF('Test Cases'!$G$5:$G$1000,$A52)</f>
        <v/>
      </c>
      <c r="C52" s="17">
        <f>COUNTIFS('Test Cases'!$G$5:$G$1000,$A52,'Test Cases'!$Q$5:$Q$1000,C$47)</f>
        <v/>
      </c>
      <c r="D52" s="17">
        <f>COUNTIFS('Test Cases'!$G$5:$G$1000,$A52,'Test Cases'!$Q$5:$Q$1000,D$47)</f>
        <v/>
      </c>
      <c r="E52" s="17">
        <f>COUNTIFS('Test Cases'!$G$5:$G$1000,$A52,'Test Cases'!$Q$5:$Q$1000,E$47)</f>
        <v/>
      </c>
    </row>
    <row r="53">
      <c r="A53" s="10" t="inlineStr">
        <is>
          <t>Config check</t>
        </is>
      </c>
      <c r="B53" s="17">
        <f>COUNTIF('Test Cases'!$G$5:$G$1000,$A53)</f>
        <v/>
      </c>
      <c r="C53" s="17">
        <f>COUNTIFS('Test Cases'!$G$5:$G$1000,$A53,'Test Cases'!$Q$5:$Q$1000,C$47)</f>
        <v/>
      </c>
      <c r="D53" s="17">
        <f>COUNTIFS('Test Cases'!$G$5:$G$1000,$A53,'Test Cases'!$Q$5:$Q$1000,D$47)</f>
        <v/>
      </c>
      <c r="E53" s="17">
        <f>COUNTIFS('Test Cases'!$G$5:$G$1000,$A53,'Test Cases'!$Q$5:$Q$1000,E$47)</f>
        <v/>
      </c>
    </row>
    <row r="54">
      <c r="A54" s="10" t="inlineStr">
        <is>
          <t>Exploratory</t>
        </is>
      </c>
      <c r="B54" s="17">
        <f>COUNTIF('Test Cases'!$G$5:$G$1000,$A54)</f>
        <v/>
      </c>
      <c r="C54" s="17">
        <f>COUNTIFS('Test Cases'!$G$5:$G$1000,$A54,'Test Cases'!$Q$5:$Q$1000,C$47)</f>
        <v/>
      </c>
      <c r="D54" s="17">
        <f>COUNTIFS('Test Cases'!$G$5:$G$1000,$A54,'Test Cases'!$Q$5:$Q$1000,D$47)</f>
        <v/>
      </c>
      <c r="E54" s="17">
        <f>COUNTIFS('Test Cases'!$G$5:$G$1000,$A54,'Test Cases'!$Q$5:$Q$1000,E$47)</f>
        <v/>
      </c>
    </row>
  </sheetData>
  <mergeCells count="14">
    <mergeCell ref="D9:G9"/>
    <mergeCell ref="D42:E42"/>
    <mergeCell ref="D8:G8"/>
    <mergeCell ref="D6:G6"/>
    <mergeCell ref="D43:E43"/>
    <mergeCell ref="D37:E37"/>
    <mergeCell ref="D38:E38"/>
    <mergeCell ref="D7:G7"/>
    <mergeCell ref="D41:E41"/>
    <mergeCell ref="D11:G11"/>
    <mergeCell ref="D40:E40"/>
    <mergeCell ref="D10:G10"/>
    <mergeCell ref="D5:G5"/>
    <mergeCell ref="D39:E39"/>
  </mergeCells>
  <conditionalFormatting sqref="B16:B27">
    <cfRule type="dataBar" priority="1">
      <dataBar>
        <cfvo type="num" val="0"/>
        <cfvo type="max"/>
        <color rgb="008EA9DB"/>
      </dataBar>
    </cfRule>
  </conditionalFormatting>
  <conditionalFormatting sqref="I16:I27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T263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0" customWidth="1" min="4" max="4"/>
    <col width="9" customWidth="1" min="5" max="5"/>
    <col width="8" customWidth="1" min="6" max="6"/>
    <col width="15" customWidth="1" min="7" max="7"/>
    <col width="10" customWidth="1" min="8" max="8"/>
    <col width="30" customWidth="1" min="9" max="9"/>
    <col width="46" customWidth="1" min="10" max="10"/>
    <col width="30" customWidth="1" min="11" max="11"/>
    <col width="58" customWidth="1" min="12" max="12"/>
    <col width="22" customWidth="1" min="13" max="13"/>
    <col width="28" customWidth="1" min="14" max="14"/>
    <col width="9" customWidth="1" min="15" max="15"/>
    <col width="30" customWidth="1" min="16" max="16"/>
    <col width="11" customWidth="1" min="17" max="17"/>
    <col width="12" customWidth="1" min="18" max="18"/>
    <col width="12" customWidth="1" min="19" max="19"/>
    <col width="26" customWidth="1" min="20" max="20"/>
  </cols>
  <sheetData>
    <row r="1">
      <c r="A1" s="25" t="inlineStr">
        <is>
          <t>CiviCheck - Authentication Module Test Cases</t>
        </is>
      </c>
    </row>
    <row r="2" ht="40" customHeight="1">
      <c r="A2" s="26" t="inlineStr">
        <is>
          <t>Yellow columns marked * are for the tester. Status list: Not Run / Pass / Fail / Blocked / Skipped. Account refs like [ACC-01] are defined on the 'Test Accounts' sheet. Expected Results describe the CORRECT behaviour; cells starting with [Known issue ...] (orange) are cases where the current code is known to differ - a Fail there confirms the finding. Filter Suite = Smoke to start, and Category = Manual UI for tests that need no setup beyond test accounts (see Read Me).</t>
        </is>
      </c>
    </row>
    <row r="4" ht="32" customHeight="1">
      <c r="A4" s="16" t="inlineStr">
        <is>
          <t>TC ID</t>
        </is>
      </c>
      <c r="B4" s="16" t="inlineStr">
        <is>
          <t>Sub-module</t>
        </is>
      </c>
      <c r="C4" s="16" t="inlineStr">
        <is>
          <t>Test Scenario</t>
        </is>
      </c>
      <c r="D4" s="16" t="inlineStr">
        <is>
          <t>Type</t>
        </is>
      </c>
      <c r="E4" s="16" t="inlineStr">
        <is>
          <t>Priority</t>
        </is>
      </c>
      <c r="F4" s="16" t="inlineStr">
        <is>
          <t>Level</t>
        </is>
      </c>
      <c r="G4" s="16" t="inlineStr">
        <is>
          <t>Category</t>
        </is>
      </c>
      <c r="H4" s="16" t="inlineStr">
        <is>
          <t>Suite</t>
        </is>
      </c>
      <c r="I4" s="16" t="inlineStr">
        <is>
          <t>Preconditions</t>
        </is>
      </c>
      <c r="J4" s="16" t="inlineStr">
        <is>
          <t>Test Steps</t>
        </is>
      </c>
      <c r="K4" s="16" t="inlineStr">
        <is>
          <t>Test Data</t>
        </is>
      </c>
      <c r="L4" s="16" t="inlineStr">
        <is>
          <t>Expected Result</t>
        </is>
      </c>
      <c r="M4" s="16" t="inlineStr">
        <is>
          <t>Covers (item IDs)</t>
        </is>
      </c>
      <c r="N4" s="16" t="inlineStr">
        <is>
          <t>Source Ref</t>
        </is>
      </c>
      <c r="O4" s="16" t="inlineStr">
        <is>
          <t>Finding Ref</t>
        </is>
      </c>
      <c r="P4" s="16" t="inlineStr">
        <is>
          <t>Actual Result *</t>
        </is>
      </c>
      <c r="Q4" s="16" t="inlineStr">
        <is>
          <t>Status *</t>
        </is>
      </c>
      <c r="R4" s="16" t="inlineStr">
        <is>
          <t>Tester *</t>
        </is>
      </c>
      <c r="S4" s="16" t="inlineStr">
        <is>
          <t>Date *</t>
        </is>
      </c>
      <c r="T4" s="16" t="inlineStr">
        <is>
          <t>Defect ID / Notes *</t>
        </is>
      </c>
    </row>
    <row r="5" ht="49" customHeight="1">
      <c r="A5" s="27" t="inlineStr">
        <is>
          <t>TC-LGN-001</t>
        </is>
      </c>
      <c r="B5" s="4" t="inlineStr">
        <is>
          <t>Login</t>
        </is>
      </c>
      <c r="C5" s="4" t="inlineStr">
        <is>
          <t>Applicant signs in with valid credentials</t>
        </is>
      </c>
      <c r="D5" s="28" t="inlineStr">
        <is>
          <t>Positive</t>
        </is>
      </c>
      <c r="E5" s="28" t="inlineStr">
        <is>
          <t>High</t>
        </is>
      </c>
      <c r="F5" s="28" t="inlineStr">
        <is>
          <t>UI</t>
        </is>
      </c>
      <c r="G5" s="28" t="inlineStr">
        <is>
          <t>Manual UI</t>
        </is>
      </c>
      <c r="H5" s="28" t="inlineStr">
        <is>
          <t>Smoke</t>
        </is>
      </c>
      <c r="I5" s="4" t="inlineStr">
        <is>
          <t>[ACC-01] exists, is confirmed and active.</t>
        </is>
      </c>
      <c r="J5" s="4" t="inlineStr">
        <is>
          <t>1. Open /login.
2. Enter the email and password.
3. Click Sign in.</t>
        </is>
      </c>
      <c r="K5" s="4" t="inlineStr">
        <is>
          <t>[ACC-01] / Passw0rd1</t>
        </is>
      </c>
      <c r="L5" s="4" t="inlineStr">
        <is>
          <t>Button shows spinner + "Signing in"; user is redirected to /dashboard; applicant dashboard renders with the applicant's first name; session cookies are set; no error alert or toast.</t>
        </is>
      </c>
      <c r="M5" s="4" t="inlineStr">
        <is>
          <t>LGN-03, LGN-16, LGN-19, AUD-02</t>
        </is>
      </c>
      <c r="N5" s="4" t="inlineStr">
        <is>
          <t>LoginForm.tsx; auth.mutations.ts › loginWithEmailFn; useLogin.ts</t>
        </is>
      </c>
      <c r="O5" s="28" t="inlineStr"/>
      <c r="P5" s="29" t="n"/>
      <c r="Q5" s="30" t="inlineStr">
        <is>
          <t>Not Run</t>
        </is>
      </c>
      <c r="R5" s="30" t="n"/>
      <c r="S5" s="31" t="n"/>
      <c r="T5" s="29" t="n"/>
    </row>
    <row r="6" ht="34" customHeight="1">
      <c r="A6" s="27" t="inlineStr">
        <is>
          <t>TC-LGN-002</t>
        </is>
      </c>
      <c r="B6" s="4" t="inlineStr">
        <is>
          <t>Login</t>
        </is>
      </c>
      <c r="C6" s="4" t="inlineStr">
        <is>
          <t>Staff sign-in lands on the staff workspace</t>
        </is>
      </c>
      <c r="D6" s="28" t="inlineStr">
        <is>
          <t>Positive</t>
        </is>
      </c>
      <c r="E6" s="28" t="inlineStr">
        <is>
          <t>High</t>
        </is>
      </c>
      <c r="F6" s="28" t="inlineStr">
        <is>
          <t>UI</t>
        </is>
      </c>
      <c r="G6" s="28" t="inlineStr">
        <is>
          <t>Manual UI</t>
        </is>
      </c>
      <c r="H6" s="28" t="inlineStr">
        <is>
          <t>Smoke</t>
        </is>
      </c>
      <c r="I6" s="4" t="inlineStr">
        <is>
          <t>[ACC-05] active, role = staff.</t>
        </is>
      </c>
      <c r="J6" s="4" t="inlineStr">
        <is>
          <t>1. Open /login.
2. Sign in as staff.</t>
        </is>
      </c>
      <c r="K6" s="4" t="inlineStr">
        <is>
          <t>[ACC-05]</t>
        </is>
      </c>
      <c r="L6" s="4" t="inlineStr">
        <is>
          <t>Redirected /dashboard → /staff-dashboard; staff navigation shown; applicant-only items (My Requests, notifications) are not shown.</t>
        </is>
      </c>
      <c r="M6" s="4" t="inlineStr">
        <is>
          <t>LGN-03, LGN-19, AUD-01, LGN-09</t>
        </is>
      </c>
      <c r="N6" s="4" t="inlineStr">
        <is>
          <t>dashboard.tsx beforeLoad; staff-dashboard.tsx</t>
        </is>
      </c>
      <c r="O6" s="28" t="inlineStr"/>
      <c r="P6" s="29" t="n"/>
      <c r="Q6" s="30" t="inlineStr">
        <is>
          <t>Not Run</t>
        </is>
      </c>
      <c r="R6" s="30" t="n"/>
      <c r="S6" s="31" t="n"/>
      <c r="T6" s="29" t="n"/>
    </row>
    <row r="7" ht="49" customHeight="1">
      <c r="A7" s="27" t="inlineStr">
        <is>
          <t>TC-LGN-003</t>
        </is>
      </c>
      <c r="B7" s="4" t="inlineStr">
        <is>
          <t>Login</t>
        </is>
      </c>
      <c r="C7" s="4" t="inlineStr">
        <is>
          <t>Supervisor and cashier sign-in land on the staff workspace with role-limited actions</t>
        </is>
      </c>
      <c r="D7" s="28" t="inlineStr">
        <is>
          <t>Positive</t>
        </is>
      </c>
      <c r="E7" s="28" t="inlineStr">
        <is>
          <t>High</t>
        </is>
      </c>
      <c r="F7" s="28" t="inlineStr">
        <is>
          <t>UI</t>
        </is>
      </c>
      <c r="G7" s="28" t="inlineStr">
        <is>
          <t>Manual UI</t>
        </is>
      </c>
      <c r="H7" s="28" t="inlineStr">
        <is>
          <t>Core</t>
        </is>
      </c>
      <c r="I7" s="4" t="inlineStr">
        <is>
          <t>[ACC-06] supervisor and [ACC-07] cashier are active.</t>
        </is>
      </c>
      <c r="J7" s="4" t="inlineStr">
        <is>
          <t>1. Sign in as supervisor, then sign out.
2. Sign in as cashier.</t>
        </is>
      </c>
      <c r="K7" s="4" t="inlineStr">
        <is>
          <t>[ACC-06], [ACC-07]</t>
        </is>
      </c>
      <c r="L7" s="4" t="inlineStr">
        <is>
          <t>Both land on /staff-dashboard (permission dashboard:staff). Supervisor can process requests; cashier sees only cashier/payment pages and cannot open the request list.</t>
        </is>
      </c>
      <c r="M7" s="4" t="inlineStr">
        <is>
          <t>LGN-19, AUD-01, LGN-09</t>
        </is>
      </c>
      <c r="N7" s="4" t="inlineStr">
        <is>
          <t>dashboard.tsx; lib/permissions.ts</t>
        </is>
      </c>
      <c r="O7" s="28" t="inlineStr"/>
      <c r="P7" s="29" t="n"/>
      <c r="Q7" s="30" t="inlineStr">
        <is>
          <t>Not Run</t>
        </is>
      </c>
      <c r="R7" s="30" t="n"/>
      <c r="S7" s="31" t="n"/>
      <c r="T7" s="29" t="n"/>
    </row>
    <row r="8" ht="34" customHeight="1">
      <c r="A8" s="27" t="inlineStr">
        <is>
          <t>TC-LGN-004</t>
        </is>
      </c>
      <c r="B8" s="4" t="inlineStr">
        <is>
          <t>Login</t>
        </is>
      </c>
      <c r="C8" s="4" t="inlineStr">
        <is>
          <t>CCRO Admin sign-in lands on the admin workspace</t>
        </is>
      </c>
      <c r="D8" s="28" t="inlineStr">
        <is>
          <t>Positive</t>
        </is>
      </c>
      <c r="E8" s="28" t="inlineStr">
        <is>
          <t>High</t>
        </is>
      </c>
      <c r="F8" s="28" t="inlineStr">
        <is>
          <t>UI</t>
        </is>
      </c>
      <c r="G8" s="28" t="inlineStr">
        <is>
          <t>Manual UI</t>
        </is>
      </c>
      <c r="H8" s="28" t="inlineStr">
        <is>
          <t>Smoke</t>
        </is>
      </c>
      <c r="I8" s="4" t="inlineStr">
        <is>
          <t>[ACC-08] active, role = admin.</t>
        </is>
      </c>
      <c r="J8" s="4" t="inlineStr">
        <is>
          <t>1. Sign in as CCRO admin.</t>
        </is>
      </c>
      <c r="K8" s="4" t="inlineStr">
        <is>
          <t>[ACC-08]</t>
        </is>
      </c>
      <c r="L8" s="4" t="inlineStr">
        <is>
          <t>Redirected /dashboard → /admin; admin dashboard renders.</t>
        </is>
      </c>
      <c r="M8" s="4" t="inlineStr">
        <is>
          <t>LGN-19, AUD-01, LGN-09</t>
        </is>
      </c>
      <c r="N8" s="4" t="inlineStr">
        <is>
          <t>dashboard.tsx</t>
        </is>
      </c>
      <c r="O8" s="28" t="inlineStr"/>
      <c r="P8" s="29" t="n"/>
      <c r="Q8" s="30" t="inlineStr">
        <is>
          <t>Not Run</t>
        </is>
      </c>
      <c r="R8" s="30" t="n"/>
      <c r="S8" s="31" t="n"/>
      <c r="T8" s="29" t="n"/>
    </row>
    <row r="9" ht="34" customHeight="1">
      <c r="A9" s="27" t="inlineStr">
        <is>
          <t>TC-LGN-005</t>
        </is>
      </c>
      <c r="B9" s="4" t="inlineStr">
        <is>
          <t>Login</t>
        </is>
      </c>
      <c r="C9" s="4" t="inlineStr">
        <is>
          <t>System Admin sign-in lands on the system health page</t>
        </is>
      </c>
      <c r="D9" s="28" t="inlineStr">
        <is>
          <t>Positive</t>
        </is>
      </c>
      <c r="E9" s="28" t="inlineStr">
        <is>
          <t>High</t>
        </is>
      </c>
      <c r="F9" s="28" t="inlineStr">
        <is>
          <t>UI</t>
        </is>
      </c>
      <c r="G9" s="28" t="inlineStr">
        <is>
          <t>Manual UI</t>
        </is>
      </c>
      <c r="H9" s="28" t="inlineStr">
        <is>
          <t>Core</t>
        </is>
      </c>
      <c r="I9" s="4" t="inlineStr">
        <is>
          <t>[ACC-09] active, role = system_admin.</t>
        </is>
      </c>
      <c r="J9" s="4" t="inlineStr">
        <is>
          <t>1. Sign in as system admin.</t>
        </is>
      </c>
      <c r="K9" s="4" t="inlineStr">
        <is>
          <t>[ACC-09]</t>
        </is>
      </c>
      <c r="L9" s="4" t="inlineStr">
        <is>
          <t>Redirected /dashboard → /system-admin/health.</t>
        </is>
      </c>
      <c r="M9" s="4" t="inlineStr">
        <is>
          <t>LGN-19, AUD-01, LGN-09</t>
        </is>
      </c>
      <c r="N9" s="4" t="inlineStr">
        <is>
          <t>dashboard.tsx</t>
        </is>
      </c>
      <c r="O9" s="28" t="inlineStr"/>
      <c r="P9" s="29" t="n"/>
      <c r="Q9" s="30" t="inlineStr">
        <is>
          <t>Not Run</t>
        </is>
      </c>
      <c r="R9" s="30" t="n"/>
      <c r="S9" s="31" t="n"/>
      <c r="T9" s="29" t="n"/>
    </row>
    <row r="10" ht="34" customHeight="1">
      <c r="A10" s="27" t="inlineStr">
        <is>
          <t>TC-LGN-006</t>
        </is>
      </c>
      <c r="B10" s="4" t="inlineStr">
        <is>
          <t>Login</t>
        </is>
      </c>
      <c r="C10" s="4" t="inlineStr">
        <is>
          <t>Sign-in honours a valid in-app redirect target</t>
        </is>
      </c>
      <c r="D10" s="28" t="inlineStr">
        <is>
          <t>Positive</t>
        </is>
      </c>
      <c r="E10" s="28" t="inlineStr">
        <is>
          <t>Medium</t>
        </is>
      </c>
      <c r="F10" s="28" t="inlineStr">
        <is>
          <t>UI</t>
        </is>
      </c>
      <c r="G10" s="28" t="inlineStr">
        <is>
          <t>Manual UI</t>
        </is>
      </c>
      <c r="H10" s="28" t="inlineStr">
        <is>
          <t>Extended</t>
        </is>
      </c>
      <c r="I10" s="4" t="inlineStr">
        <is>
          <t>App running and reachable; tester is signed out.</t>
        </is>
      </c>
      <c r="J10" s="4" t="inlineStr">
        <is>
          <t>1. Open /login?redirect=/my-requests.
2. Sign in as the applicant.</t>
        </is>
      </c>
      <c r="K10" s="4" t="inlineStr">
        <is>
          <t>[ACC-01]</t>
        </is>
      </c>
      <c r="L10" s="4" t="inlineStr">
        <is>
          <t>After sign-in the browser lands on /my-requests (not /dashboard).</t>
        </is>
      </c>
      <c r="M10" s="4" t="inlineStr">
        <is>
          <t>LGN-04, SES-02</t>
        </is>
      </c>
      <c r="N10" s="4" t="inlineStr">
        <is>
          <t>login.tsx; useLogin.ts:13</t>
        </is>
      </c>
      <c r="O10" s="28" t="inlineStr"/>
      <c r="P10" s="29" t="n"/>
      <c r="Q10" s="30" t="inlineStr">
        <is>
          <t>Not Run</t>
        </is>
      </c>
      <c r="R10" s="30" t="n"/>
      <c r="S10" s="31" t="n"/>
      <c r="T10" s="29" t="n"/>
    </row>
    <row r="11" ht="49" customHeight="1">
      <c r="A11" s="27" t="inlineStr">
        <is>
          <t>TC-LGN-007</t>
        </is>
      </c>
      <c r="B11" s="4" t="inlineStr">
        <is>
          <t>Login</t>
        </is>
      </c>
      <c r="C11" s="4" t="inlineStr">
        <is>
          <t>Email is matched case-insensitively</t>
        </is>
      </c>
      <c r="D11" s="28" t="inlineStr">
        <is>
          <t>Positive</t>
        </is>
      </c>
      <c r="E11" s="28" t="inlineStr">
        <is>
          <t>Medium</t>
        </is>
      </c>
      <c r="F11" s="28" t="inlineStr">
        <is>
          <t>UI</t>
        </is>
      </c>
      <c r="G11" s="28" t="inlineStr">
        <is>
          <t>Manual UI</t>
        </is>
      </c>
      <c r="H11" s="28" t="inlineStr">
        <is>
          <t>Extended</t>
        </is>
      </c>
      <c r="I11" s="4" t="inlineStr">
        <is>
          <t>App running and reachable; tester is signed out.</t>
        </is>
      </c>
      <c r="J11" s="4" t="inlineStr">
        <is>
          <t>1. Enter the account email in UPPER CASE.
2. Enter the correct password.
3. Click Sign in.</t>
        </is>
      </c>
      <c r="K11" s="4" t="inlineStr">
        <is>
          <t>APPLICANT.OK@&lt;domain&gt; / Passw0rd1 (account registered in lower case)</t>
        </is>
      </c>
      <c r="L11" s="4" t="inlineStr">
        <is>
          <t>Sign-in succeeds exactly as with the lower-case email.</t>
        </is>
      </c>
      <c r="M11" s="4" t="inlineStr">
        <is>
          <t>LGN-15, LGN-03</t>
        </is>
      </c>
      <c r="N11" s="4" t="inlineStr">
        <is>
          <t>LoginForm.tsx</t>
        </is>
      </c>
      <c r="O11" s="28" t="inlineStr"/>
      <c r="P11" s="29" t="n"/>
      <c r="Q11" s="30" t="inlineStr">
        <is>
          <t>Not Run</t>
        </is>
      </c>
      <c r="R11" s="30" t="n"/>
      <c r="S11" s="31" t="n"/>
      <c r="T11" s="29" t="n"/>
    </row>
    <row r="12" ht="34" customHeight="1">
      <c r="A12" s="27" t="inlineStr">
        <is>
          <t>TC-LGN-008</t>
        </is>
      </c>
      <c r="B12" s="4" t="inlineStr">
        <is>
          <t>Login</t>
        </is>
      </c>
      <c r="C12" s="4" t="inlineStr">
        <is>
          <t>Plus-addressed email signs in</t>
        </is>
      </c>
      <c r="D12" s="28" t="inlineStr">
        <is>
          <t>Positive</t>
        </is>
      </c>
      <c r="E12" s="28" t="inlineStr">
        <is>
          <t>Low</t>
        </is>
      </c>
      <c r="F12" s="28" t="inlineStr">
        <is>
          <t>UI</t>
        </is>
      </c>
      <c r="G12" s="28" t="inlineStr">
        <is>
          <t>Manual UI</t>
        </is>
      </c>
      <c r="H12" s="28" t="inlineStr">
        <is>
          <t>Extended</t>
        </is>
      </c>
      <c r="I12" s="4" t="inlineStr">
        <is>
          <t>Account registered with a plus-addressed email.</t>
        </is>
      </c>
      <c r="J12" s="4" t="inlineStr">
        <is>
          <t>1. Sign in with an account registered as name+ccro@&lt;domain&gt;.</t>
        </is>
      </c>
      <c r="K12" s="4" t="inlineStr">
        <is>
          <t>name+ccro@&lt;domain&gt; / Passw0rd1</t>
        </is>
      </c>
      <c r="L12" s="4" t="inlineStr">
        <is>
          <t>Accepted by validation; sign-in succeeds.</t>
        </is>
      </c>
      <c r="M12" s="4" t="inlineStr">
        <is>
          <t>LGN-15</t>
        </is>
      </c>
      <c r="N12" s="4" t="inlineStr">
        <is>
          <t>LoginForm.tsx</t>
        </is>
      </c>
      <c r="O12" s="28" t="inlineStr"/>
      <c r="P12" s="29" t="n"/>
      <c r="Q12" s="30" t="inlineStr">
        <is>
          <t>Not Run</t>
        </is>
      </c>
      <c r="R12" s="30" t="n"/>
      <c r="S12" s="31" t="n"/>
      <c r="T12" s="29" t="n"/>
    </row>
    <row r="13" ht="34" customHeight="1">
      <c r="A13" s="27" t="inlineStr">
        <is>
          <t>TC-LGN-009</t>
        </is>
      </c>
      <c r="B13" s="4" t="inlineStr">
        <is>
          <t>Login</t>
        </is>
      </c>
      <c r="C13" s="4" t="inlineStr">
        <is>
          <t>Password containing spaces, symbols and Unicode signs in</t>
        </is>
      </c>
      <c r="D13" s="28" t="inlineStr">
        <is>
          <t>Positive</t>
        </is>
      </c>
      <c r="E13" s="28" t="inlineStr">
        <is>
          <t>Medium</t>
        </is>
      </c>
      <c r="F13" s="28" t="inlineStr">
        <is>
          <t>UI</t>
        </is>
      </c>
      <c r="G13" s="28" t="inlineStr">
        <is>
          <t>Manual UI</t>
        </is>
      </c>
      <c r="H13" s="28" t="inlineStr">
        <is>
          <t>Extended</t>
        </is>
      </c>
      <c r="I13" s="4" t="inlineStr">
        <is>
          <t>Account created with that exact password.</t>
        </is>
      </c>
      <c r="J13" s="4" t="inlineStr">
        <is>
          <t>1. Sign in with the account whose password is shown.</t>
        </is>
      </c>
      <c r="K13" s="4" t="inlineStr">
        <is>
          <t>Password: P@ss w0rd ñ🔒 (internal space, symbol, accent, emoji)</t>
        </is>
      </c>
      <c r="L13" s="4" t="inlineStr">
        <is>
          <t>Sign-in succeeds; password is sent unmodified (not trimmed or normalised).</t>
        </is>
      </c>
      <c r="M13" s="4" t="inlineStr">
        <is>
          <t>LGN-03, LGN-15</t>
        </is>
      </c>
      <c r="N13" s="4" t="inlineStr">
        <is>
          <t>LoginForm.tsx; auth.mutations.ts › loginWithEmailFn</t>
        </is>
      </c>
      <c r="O13" s="28" t="inlineStr"/>
      <c r="P13" s="29" t="n"/>
      <c r="Q13" s="30" t="inlineStr">
        <is>
          <t>Not Run</t>
        </is>
      </c>
      <c r="R13" s="30" t="n"/>
      <c r="S13" s="31" t="n"/>
      <c r="T13" s="29" t="n"/>
    </row>
    <row r="14" ht="49" customHeight="1">
      <c r="A14" s="27" t="inlineStr">
        <is>
          <t>TC-LGN-010</t>
        </is>
      </c>
      <c r="B14" s="4" t="inlineStr">
        <is>
          <t>Login</t>
        </is>
      </c>
      <c r="C14" s="4" t="inlineStr">
        <is>
          <t>Password visibility toggle</t>
        </is>
      </c>
      <c r="D14" s="28" t="inlineStr">
        <is>
          <t>Positive</t>
        </is>
      </c>
      <c r="E14" s="28" t="inlineStr">
        <is>
          <t>Low</t>
        </is>
      </c>
      <c r="F14" s="28" t="inlineStr">
        <is>
          <t>UI</t>
        </is>
      </c>
      <c r="G14" s="28" t="inlineStr">
        <is>
          <t>Manual UI</t>
        </is>
      </c>
      <c r="H14" s="28" t="inlineStr">
        <is>
          <t>Extended</t>
        </is>
      </c>
      <c r="I14" s="4" t="inlineStr">
        <is>
          <t>App running and reachable; tester is signed out.</t>
        </is>
      </c>
      <c r="J14" s="4" t="inlineStr">
        <is>
          <t>1. Type a password.
2. Click the eye icon.
3. Click it again.</t>
        </is>
      </c>
      <c r="K14" s="4" t="inlineStr">
        <is>
          <t>any 8+ char password</t>
        </is>
      </c>
      <c r="L14" s="4" t="inlineStr">
        <is>
          <t>Field switches type=password → text → password; typed value is preserved; the toggle has an accessible name.</t>
        </is>
      </c>
      <c r="M14" s="4" t="inlineStr">
        <is>
          <t>LGN-12</t>
        </is>
      </c>
      <c r="N14" s="4" t="inlineStr">
        <is>
          <t>PasswordToggle.tsx</t>
        </is>
      </c>
      <c r="O14" s="28" t="inlineStr"/>
      <c r="P14" s="29" t="n"/>
      <c r="Q14" s="30" t="inlineStr">
        <is>
          <t>Not Run</t>
        </is>
      </c>
      <c r="R14" s="30" t="n"/>
      <c r="S14" s="31" t="n"/>
      <c r="T14" s="29" t="n"/>
    </row>
    <row r="15" ht="34" customHeight="1">
      <c r="A15" s="27" t="inlineStr">
        <is>
          <t>TC-LGN-011</t>
        </is>
      </c>
      <c r="B15" s="4" t="inlineStr">
        <is>
          <t>Login</t>
        </is>
      </c>
      <c r="C15" s="4" t="inlineStr">
        <is>
          <t>Footer and inline links navigate correctly</t>
        </is>
      </c>
      <c r="D15" s="28" t="inlineStr">
        <is>
          <t>Positive</t>
        </is>
      </c>
      <c r="E15" s="28" t="inlineStr">
        <is>
          <t>Low</t>
        </is>
      </c>
      <c r="F15" s="28" t="inlineStr">
        <is>
          <t>UI</t>
        </is>
      </c>
      <c r="G15" s="28" t="inlineStr">
        <is>
          <t>Manual UI</t>
        </is>
      </c>
      <c r="H15" s="28" t="inlineStr">
        <is>
          <t>Extended</t>
        </is>
      </c>
      <c r="I15" s="4" t="inlineStr">
        <is>
          <t>App running and reachable; tester is signed out.</t>
        </is>
      </c>
      <c r="J15" s="4" t="inlineStr">
        <is>
          <t>1. Click "Forgot password".
2. Go back; click "Sign up".</t>
        </is>
      </c>
      <c r="K15" s="4" t="inlineStr">
        <is>
          <t>—</t>
        </is>
      </c>
      <c r="L15" s="4" t="inlineStr">
        <is>
          <t>Navigates to /forgot-password and /signup respectively with no full-page error.</t>
        </is>
      </c>
      <c r="M15" s="4" t="inlineStr">
        <is>
          <t>LGN-14</t>
        </is>
      </c>
      <c r="N15" s="4" t="inlineStr">
        <is>
          <t>LoginForm.tsx</t>
        </is>
      </c>
      <c r="O15" s="28" t="inlineStr"/>
      <c r="P15" s="29" t="n"/>
      <c r="Q15" s="30" t="inlineStr">
        <is>
          <t>Not Run</t>
        </is>
      </c>
      <c r="R15" s="30" t="n"/>
      <c r="S15" s="31" t="n"/>
      <c r="T15" s="29" t="n"/>
    </row>
    <row r="16" ht="49" customHeight="1">
      <c r="A16" s="27" t="inlineStr">
        <is>
          <t>TC-LGN-012</t>
        </is>
      </c>
      <c r="B16" s="4" t="inlineStr">
        <is>
          <t>Login</t>
        </is>
      </c>
      <c r="C16" s="4" t="inlineStr">
        <is>
          <t>Empty form is blocked with field errors</t>
        </is>
      </c>
      <c r="D16" s="28" t="inlineStr">
        <is>
          <t>Negative</t>
        </is>
      </c>
      <c r="E16" s="28" t="inlineStr">
        <is>
          <t>High</t>
        </is>
      </c>
      <c r="F16" s="28" t="inlineStr">
        <is>
          <t>UI</t>
        </is>
      </c>
      <c r="G16" s="28" t="inlineStr">
        <is>
          <t>Manual UI</t>
        </is>
      </c>
      <c r="H16" s="28" t="inlineStr">
        <is>
          <t>Smoke</t>
        </is>
      </c>
      <c r="I16" s="4" t="inlineStr">
        <is>
          <t>App running and reachable; tester is signed out.</t>
        </is>
      </c>
      <c r="J16" s="4" t="inlineStr">
        <is>
          <t>1. Open /login.
2. Leave both fields empty and click Sign in.</t>
        </is>
      </c>
      <c r="K16" s="4" t="inlineStr">
        <is>
          <t>email = "", password = ""</t>
        </is>
      </c>
      <c r="L16" s="4" t="inlineStr">
        <is>
          <t>Inline errors: "Please enter a valid email address" and "Password is required"; fields flagged aria-invalid; no server request is sent (Network tab).</t>
        </is>
      </c>
      <c r="M16" s="4" t="inlineStr">
        <is>
          <t>LGN-01, LGN-02</t>
        </is>
      </c>
      <c r="N16" s="4" t="inlineStr">
        <is>
          <t>LoginForm.tsx</t>
        </is>
      </c>
      <c r="O16" s="28" t="inlineStr"/>
      <c r="P16" s="29" t="n"/>
      <c r="Q16" s="30" t="inlineStr">
        <is>
          <t>Not Run</t>
        </is>
      </c>
      <c r="R16" s="30" t="n"/>
      <c r="S16" s="31" t="n"/>
      <c r="T16" s="29" t="n"/>
    </row>
    <row r="17" ht="64" customHeight="1">
      <c r="A17" s="27" t="inlineStr">
        <is>
          <t>TC-LGN-013</t>
        </is>
      </c>
      <c r="B17" s="4" t="inlineStr">
        <is>
          <t>Login</t>
        </is>
      </c>
      <c r="C17" s="4" t="inlineStr">
        <is>
          <t>Malformed email addresses are rejected</t>
        </is>
      </c>
      <c r="D17" s="28" t="inlineStr">
        <is>
          <t>Negative</t>
        </is>
      </c>
      <c r="E17" s="28" t="inlineStr">
        <is>
          <t>High</t>
        </is>
      </c>
      <c r="F17" s="28" t="inlineStr">
        <is>
          <t>UI</t>
        </is>
      </c>
      <c r="G17" s="28" t="inlineStr">
        <is>
          <t>Manual UI</t>
        </is>
      </c>
      <c r="H17" s="28" t="inlineStr">
        <is>
          <t>Core</t>
        </is>
      </c>
      <c r="I17" s="4" t="inlineStr">
        <is>
          <t>App running and reachable; tester is signed out.</t>
        </is>
      </c>
      <c r="J17" s="4" t="inlineStr">
        <is>
          <t>1. Enter each email in turn with a valid password.
2. Click Sign in.</t>
        </is>
      </c>
      <c r="K17" s="4" t="inlineStr">
        <is>
          <t>plainaddress | user@ | @domain.com | user@domain | user name@domain.com | user@@domain.com | .user@domain.com | user..name@domain.com</t>
        </is>
      </c>
      <c r="L17" s="4" t="inlineStr">
        <is>
          <t>Each value is blocked (inline "Please enter a valid email address" or the browser's native email bubble); no request is sent.</t>
        </is>
      </c>
      <c r="M17" s="4" t="inlineStr">
        <is>
          <t>LGN-01</t>
        </is>
      </c>
      <c r="N17" s="4" t="inlineStr">
        <is>
          <t>LoginForm.tsx</t>
        </is>
      </c>
      <c r="O17" s="28" t="inlineStr"/>
      <c r="P17" s="29" t="n"/>
      <c r="Q17" s="30" t="inlineStr">
        <is>
          <t>Not Run</t>
        </is>
      </c>
      <c r="R17" s="30" t="n"/>
      <c r="S17" s="31" t="n"/>
      <c r="T17" s="29" t="n"/>
    </row>
    <row r="18" ht="49" customHeight="1">
      <c r="A18" s="27" t="inlineStr">
        <is>
          <t>TC-LGN-014</t>
        </is>
      </c>
      <c r="B18" s="4" t="inlineStr">
        <is>
          <t>Login</t>
        </is>
      </c>
      <c r="C18" s="4" t="inlineStr">
        <is>
          <t>Password of 7 characters is blocked (lower boundary - 1)</t>
        </is>
      </c>
      <c r="D18" s="28" t="inlineStr">
        <is>
          <t>Boundary</t>
        </is>
      </c>
      <c r="E18" s="28" t="inlineStr">
        <is>
          <t>High</t>
        </is>
      </c>
      <c r="F18" s="28" t="inlineStr">
        <is>
          <t>UI</t>
        </is>
      </c>
      <c r="G18" s="28" t="inlineStr">
        <is>
          <t>Manual UI</t>
        </is>
      </c>
      <c r="H18" s="28" t="inlineStr">
        <is>
          <t>Core</t>
        </is>
      </c>
      <c r="I18" s="4" t="inlineStr">
        <is>
          <t>App running and reachable; tester is signed out.</t>
        </is>
      </c>
      <c r="J18" s="4" t="inlineStr">
        <is>
          <t>1. Enter a valid email and the 7-char password.
2. Click Sign in.</t>
        </is>
      </c>
      <c r="K18" s="4" t="inlineStr">
        <is>
          <t>Passw0r</t>
        </is>
      </c>
      <c r="L18" s="4" t="inlineStr">
        <is>
          <t>[Known issue F-02 - current code differs] Blocked client-side; no request sent. Message should say the password is too short - currently reads "Password is required" (misleading).</t>
        </is>
      </c>
      <c r="M18" s="4" t="inlineStr">
        <is>
          <t>LGN-02</t>
        </is>
      </c>
      <c r="N18" s="4" t="inlineStr">
        <is>
          <t>LoginForm.tsx:44</t>
        </is>
      </c>
      <c r="O18" s="28" t="inlineStr">
        <is>
          <t>F-02</t>
        </is>
      </c>
      <c r="P18" s="29" t="n"/>
      <c r="Q18" s="30" t="inlineStr">
        <is>
          <t>Not Run</t>
        </is>
      </c>
      <c r="R18" s="30" t="n"/>
      <c r="S18" s="31" t="n"/>
      <c r="T18" s="29" t="n"/>
    </row>
    <row r="19" ht="34" customHeight="1">
      <c r="A19" s="27" t="inlineStr">
        <is>
          <t>TC-LGN-015</t>
        </is>
      </c>
      <c r="B19" s="4" t="inlineStr">
        <is>
          <t>Login</t>
        </is>
      </c>
      <c r="C19" s="4" t="inlineStr">
        <is>
          <t>Password of exactly 8 characters is accepted (lower boundary)</t>
        </is>
      </c>
      <c r="D19" s="28" t="inlineStr">
        <is>
          <t>Boundary</t>
        </is>
      </c>
      <c r="E19" s="28" t="inlineStr">
        <is>
          <t>High</t>
        </is>
      </c>
      <c r="F19" s="28" t="inlineStr">
        <is>
          <t>UI</t>
        </is>
      </c>
      <c r="G19" s="28" t="inlineStr">
        <is>
          <t>Manual UI</t>
        </is>
      </c>
      <c r="H19" s="28" t="inlineStr">
        <is>
          <t>Core</t>
        </is>
      </c>
      <c r="I19" s="4" t="inlineStr">
        <is>
          <t>[ACC-01] password set to "Passw0rd".</t>
        </is>
      </c>
      <c r="J19" s="4" t="inlineStr">
        <is>
          <t>1. Sign in with an account whose password is exactly 8 chars.</t>
        </is>
      </c>
      <c r="K19" s="4" t="inlineStr">
        <is>
          <t>[ACC-01] with password Passw0rd</t>
        </is>
      </c>
      <c r="L19" s="4" t="inlineStr">
        <is>
          <t>Passes validation; request sent; sign-in succeeds.</t>
        </is>
      </c>
      <c r="M19" s="4" t="inlineStr">
        <is>
          <t>LGN-02, LGN-03</t>
        </is>
      </c>
      <c r="N19" s="4" t="inlineStr">
        <is>
          <t>LoginForm.tsx</t>
        </is>
      </c>
      <c r="O19" s="28" t="inlineStr"/>
      <c r="P19" s="29" t="n"/>
      <c r="Q19" s="30" t="inlineStr">
        <is>
          <t>Not Run</t>
        </is>
      </c>
      <c r="R19" s="30" t="n"/>
      <c r="S19" s="31" t="n"/>
      <c r="T19" s="29" t="n"/>
    </row>
    <row r="20" ht="49" customHeight="1">
      <c r="A20" s="27" t="inlineStr">
        <is>
          <t>TC-LGN-016</t>
        </is>
      </c>
      <c r="B20" s="4" t="inlineStr">
        <is>
          <t>Login</t>
        </is>
      </c>
      <c r="C20" s="4" t="inlineStr">
        <is>
          <t>Account with a legacy password shorter than 8 characters</t>
        </is>
      </c>
      <c r="D20" s="28" t="inlineStr">
        <is>
          <t>Edge</t>
        </is>
      </c>
      <c r="E20" s="28" t="inlineStr">
        <is>
          <t>Medium</t>
        </is>
      </c>
      <c r="F20" s="28" t="inlineStr">
        <is>
          <t>UI</t>
        </is>
      </c>
      <c r="G20" s="28" t="inlineStr">
        <is>
          <t>Manual UI</t>
        </is>
      </c>
      <c r="H20" s="28" t="inlineStr">
        <is>
          <t>Extended</t>
        </is>
      </c>
      <c r="I20" s="4" t="inlineStr">
        <is>
          <t>Auth user created from the Supabase dashboard with a 6-char password (allowed by Supabase default).</t>
        </is>
      </c>
      <c r="J20" s="4" t="inlineStr">
        <is>
          <t>1. Sign in with the correct 6-char password.</t>
        </is>
      </c>
      <c r="K20" s="4" t="inlineStr">
        <is>
          <t>Account whose password is "abc123" (set from the Supabase dashboard)</t>
        </is>
      </c>
      <c r="L20" s="4" t="inlineStr">
        <is>
          <t>[Known issue F-02 - current code differs] User can sign in, or is told clearly that the password must be reset. Client must not leave the user stuck behind "Password is required".</t>
        </is>
      </c>
      <c r="M20" s="4" t="inlineStr">
        <is>
          <t>LGN-02</t>
        </is>
      </c>
      <c r="N20" s="4" t="inlineStr">
        <is>
          <t>LoginForm.tsx:44</t>
        </is>
      </c>
      <c r="O20" s="28" t="inlineStr">
        <is>
          <t>F-02</t>
        </is>
      </c>
      <c r="P20" s="29" t="n"/>
      <c r="Q20" s="30" t="inlineStr">
        <is>
          <t>Not Run</t>
        </is>
      </c>
      <c r="R20" s="30" t="n"/>
      <c r="S20" s="31" t="n"/>
      <c r="T20" s="29" t="n"/>
    </row>
    <row r="21" ht="64" customHeight="1">
      <c r="A21" s="27" t="inlineStr">
        <is>
          <t>TC-LGN-017</t>
        </is>
      </c>
      <c r="B21" s="4" t="inlineStr">
        <is>
          <t>Login</t>
        </is>
      </c>
      <c r="C21" s="4" t="inlineStr">
        <is>
          <t>Wrong password for an existing account</t>
        </is>
      </c>
      <c r="D21" s="28" t="inlineStr">
        <is>
          <t>Negative</t>
        </is>
      </c>
      <c r="E21" s="28" t="inlineStr">
        <is>
          <t>High</t>
        </is>
      </c>
      <c r="F21" s="28" t="inlineStr">
        <is>
          <t>UI</t>
        </is>
      </c>
      <c r="G21" s="28" t="inlineStr">
        <is>
          <t>Manual UI</t>
        </is>
      </c>
      <c r="H21" s="28" t="inlineStr">
        <is>
          <t>Smoke</t>
        </is>
      </c>
      <c r="I21" s="4" t="inlineStr">
        <is>
          <t>App running and reachable; tester is signed out.</t>
        </is>
      </c>
      <c r="J21" s="4" t="inlineStr">
        <is>
          <t>1. Enter a valid email with a wrong password.
2. Click Sign in.</t>
        </is>
      </c>
      <c r="K21" s="4" t="inlineStr">
        <is>
          <t>[ACC-01] / WrongPass9</t>
        </is>
      </c>
      <c r="L21" s="4" t="inlineStr">
        <is>
          <t>Alert "Sign in failed - Invalid email or password. Please check your credentials and try again." plus toast "Unable to sign in"; stays on /login; no session cookie; one sign_in_failed security event is written.</t>
        </is>
      </c>
      <c r="M21" s="4" t="inlineStr">
        <is>
          <t>LGN-05, LGN-08, AUD-03</t>
        </is>
      </c>
      <c r="N21" s="4" t="inlineStr">
        <is>
          <t>LoginForm.tsx; useLogin.ts; auth.mutations.ts › loginWithEmailFn</t>
        </is>
      </c>
      <c r="O21" s="28" t="inlineStr"/>
      <c r="P21" s="29" t="n"/>
      <c r="Q21" s="30" t="inlineStr">
        <is>
          <t>Not Run</t>
        </is>
      </c>
      <c r="R21" s="30" t="n"/>
      <c r="S21" s="31" t="n"/>
      <c r="T21" s="29" t="n"/>
    </row>
    <row r="22" ht="34" customHeight="1">
      <c r="A22" s="27" t="inlineStr">
        <is>
          <t>TC-LGN-018</t>
        </is>
      </c>
      <c r="B22" s="4" t="inlineStr">
        <is>
          <t>Login</t>
        </is>
      </c>
      <c r="C22" s="4" t="inlineStr">
        <is>
          <t>Unregistered email gives the same response as a wrong password</t>
        </is>
      </c>
      <c r="D22" s="28" t="inlineStr">
        <is>
          <t>Security</t>
        </is>
      </c>
      <c r="E22" s="28" t="inlineStr">
        <is>
          <t>High</t>
        </is>
      </c>
      <c r="F22" s="28" t="inlineStr">
        <is>
          <t>UI</t>
        </is>
      </c>
      <c r="G22" s="28" t="inlineStr">
        <is>
          <t>Manual UI</t>
        </is>
      </c>
      <c r="H22" s="28" t="inlineStr">
        <is>
          <t>Smoke</t>
        </is>
      </c>
      <c r="I22" s="4" t="inlineStr">
        <is>
          <t>App running and reachable; tester is signed out.</t>
        </is>
      </c>
      <c r="J22" s="4" t="inlineStr">
        <is>
          <t>1. Sign in with an email that has no account.</t>
        </is>
      </c>
      <c r="K22" s="4" t="inlineStr">
        <is>
          <t>nobody@&lt;domain&gt; / Passw0rd1</t>
        </is>
      </c>
      <c r="L22" s="4" t="inlineStr">
        <is>
          <t>Identical alert text and toast to the wrong-password case (no account enumeration); response time is comparable.</t>
        </is>
      </c>
      <c r="M22" s="4" t="inlineStr">
        <is>
          <t>LGN-05</t>
        </is>
      </c>
      <c r="N22" s="4" t="inlineStr">
        <is>
          <t>auth.mutations.ts › loginWithEmailFn</t>
        </is>
      </c>
      <c r="O22" s="28" t="inlineStr"/>
      <c r="P22" s="29" t="n"/>
      <c r="Q22" s="30" t="inlineStr">
        <is>
          <t>Not Run</t>
        </is>
      </c>
      <c r="R22" s="30" t="n"/>
      <c r="S22" s="31" t="n"/>
      <c r="T22" s="29" t="n"/>
    </row>
    <row r="23" ht="49" customHeight="1">
      <c r="A23" s="27" t="inlineStr">
        <is>
          <t>TC-LGN-019</t>
        </is>
      </c>
      <c r="B23" s="4" t="inlineStr">
        <is>
          <t>Login</t>
        </is>
      </c>
      <c r="C23" s="4" t="inlineStr">
        <is>
          <t>Unconfirmed account + correct password opens the verification dialog</t>
        </is>
      </c>
      <c r="D23" s="28" t="inlineStr">
        <is>
          <t>Negative</t>
        </is>
      </c>
      <c r="E23" s="28" t="inlineStr">
        <is>
          <t>High</t>
        </is>
      </c>
      <c r="F23" s="28" t="inlineStr">
        <is>
          <t>UI</t>
        </is>
      </c>
      <c r="G23" s="28" t="inlineStr">
        <is>
          <t>Manual UI</t>
        </is>
      </c>
      <c r="H23" s="28" t="inlineStr">
        <is>
          <t>Core</t>
        </is>
      </c>
      <c r="I23" s="4" t="inlineStr">
        <is>
          <t>[ACC-02] exists with email_confirmed_at = null.</t>
        </is>
      </c>
      <c r="J23" s="4" t="inlineStr">
        <is>
          <t>1. Sign in with the unconfirmed account and its correct password.</t>
        </is>
      </c>
      <c r="K23" s="4" t="inlineStr">
        <is>
          <t>[ACC-02] / Passw0rd1</t>
        </is>
      </c>
      <c r="L23" s="4" t="inlineStr">
        <is>
          <t>Alert asks the user to confirm their email; the verify-email dialog opens; a fresh OTP email is sent automatically; the generic "Unable to sign in" toast is suppressed.</t>
        </is>
      </c>
      <c r="M23" s="4" t="inlineStr">
        <is>
          <t>LGN-06, OTP-17, REG-14</t>
        </is>
      </c>
      <c r="N23" s="4" t="inlineStr">
        <is>
          <t>LoginForm.tsx:113-119; useLogin.ts:18-20</t>
        </is>
      </c>
      <c r="O23" s="28" t="inlineStr"/>
      <c r="P23" s="29" t="n"/>
      <c r="Q23" s="30" t="inlineStr">
        <is>
          <t>Not Run</t>
        </is>
      </c>
      <c r="R23" s="30" t="n"/>
      <c r="S23" s="31" t="n"/>
      <c r="T23" s="29" t="n"/>
    </row>
    <row r="24" ht="34" customHeight="1">
      <c r="A24" s="27" t="inlineStr">
        <is>
          <t>TC-LGN-020</t>
        </is>
      </c>
      <c r="B24" s="4" t="inlineStr">
        <is>
          <t>Login</t>
        </is>
      </c>
      <c r="C24" s="4" t="inlineStr">
        <is>
          <t>Unconfirmed account + wrong password does not trigger a resend</t>
        </is>
      </c>
      <c r="D24" s="28" t="inlineStr">
        <is>
          <t>Security</t>
        </is>
      </c>
      <c r="E24" s="28" t="inlineStr">
        <is>
          <t>High</t>
        </is>
      </c>
      <c r="F24" s="28" t="inlineStr">
        <is>
          <t>UI</t>
        </is>
      </c>
      <c r="G24" s="28" t="inlineStr">
        <is>
          <t>Manual UI</t>
        </is>
      </c>
      <c r="H24" s="28" t="inlineStr">
        <is>
          <t>Core</t>
        </is>
      </c>
      <c r="I24" s="4" t="inlineStr">
        <is>
          <t>[ACC-02] exists unconfirmed.</t>
        </is>
      </c>
      <c r="J24" s="4" t="inlineStr">
        <is>
          <t>1. Sign in with the unconfirmed account and a wrong password.</t>
        </is>
      </c>
      <c r="K24" s="4" t="inlineStr">
        <is>
          <t>[ACC-02] / WrongPass9</t>
        </is>
      </c>
      <c r="L24" s="4" t="inlineStr">
        <is>
          <t>Generic invalid-credentials message; NO dialog; NO email sent; the unconfirmed user row is not deleted or recreated.</t>
        </is>
      </c>
      <c r="M24" s="4" t="inlineStr">
        <is>
          <t>LGN-05, LGN-06, OTP-17</t>
        </is>
      </c>
      <c r="N24" s="4" t="inlineStr">
        <is>
          <t>resendSignupOtpFn; LoginForm.tsx:113</t>
        </is>
      </c>
      <c r="O24" s="28" t="inlineStr"/>
      <c r="P24" s="29" t="n"/>
      <c r="Q24" s="30" t="inlineStr">
        <is>
          <t>Not Run</t>
        </is>
      </c>
      <c r="R24" s="30" t="n"/>
      <c r="S24" s="31" t="n"/>
      <c r="T24" s="29" t="n"/>
    </row>
    <row r="25" ht="64" customHeight="1">
      <c r="A25" s="27" t="inlineStr">
        <is>
          <t>TC-LGN-021</t>
        </is>
      </c>
      <c r="B25" s="4" t="inlineStr">
        <is>
          <t>Login</t>
        </is>
      </c>
      <c r="C25" s="4" t="inlineStr">
        <is>
          <t>Suspended account cannot sign in</t>
        </is>
      </c>
      <c r="D25" s="28" t="inlineStr">
        <is>
          <t>Negative</t>
        </is>
      </c>
      <c r="E25" s="28" t="inlineStr">
        <is>
          <t>High</t>
        </is>
      </c>
      <c r="F25" s="28" t="inlineStr">
        <is>
          <t>UI</t>
        </is>
      </c>
      <c r="G25" s="28" t="inlineStr">
        <is>
          <t>Manual UI</t>
        </is>
      </c>
      <c r="H25" s="28" t="inlineStr">
        <is>
          <t>Smoke</t>
        </is>
      </c>
      <c r="I25" s="4" t="inlineStr">
        <is>
          <t>[ACC-03] has profiles.access_status = suspended.</t>
        </is>
      </c>
      <c r="J25" s="4" t="inlineStr">
        <is>
          <t>1. Sign in with the suspended account and its correct password.</t>
        </is>
      </c>
      <c r="K25" s="4" t="inlineStr">
        <is>
          <t>[ACC-03] / Passw0rd1</t>
        </is>
      </c>
      <c r="L25" s="4" t="inlineStr">
        <is>
          <t>[Known issue F-10 - current code differs] Inline alert "This account is not active."; server signs the session out so no session cookie remains; user stays on /login. Toast wording is wrong ("Invalid email or password.").</t>
        </is>
      </c>
      <c r="M25" s="4" t="inlineStr">
        <is>
          <t>LGN-07, LGN-05</t>
        </is>
      </c>
      <c r="N25" s="4" t="inlineStr">
        <is>
          <t>auth.mutations.ts › loginWithEmailFn:126-129; useLogin.ts:20-23</t>
        </is>
      </c>
      <c r="O25" s="28" t="inlineStr">
        <is>
          <t>F-10</t>
        </is>
      </c>
      <c r="P25" s="29" t="n"/>
      <c r="Q25" s="30" t="inlineStr">
        <is>
          <t>Not Run</t>
        </is>
      </c>
      <c r="R25" s="30" t="n"/>
      <c r="S25" s="31" t="n"/>
      <c r="T25" s="29" t="n"/>
    </row>
    <row r="26" ht="34" customHeight="1">
      <c r="A26" s="27" t="inlineStr">
        <is>
          <t>TC-LGN-022</t>
        </is>
      </c>
      <c r="B26" s="4" t="inlineStr">
        <is>
          <t>Login</t>
        </is>
      </c>
      <c r="C26" s="4" t="inlineStr">
        <is>
          <t>Deactivated account cannot sign in</t>
        </is>
      </c>
      <c r="D26" s="28" t="inlineStr">
        <is>
          <t>Negative</t>
        </is>
      </c>
      <c r="E26" s="28" t="inlineStr">
        <is>
          <t>High</t>
        </is>
      </c>
      <c r="F26" s="28" t="inlineStr">
        <is>
          <t>UI</t>
        </is>
      </c>
      <c r="G26" s="28" t="inlineStr">
        <is>
          <t>Manual UI</t>
        </is>
      </c>
      <c r="H26" s="28" t="inlineStr">
        <is>
          <t>Core</t>
        </is>
      </c>
      <c r="I26" s="4" t="inlineStr">
        <is>
          <t>[ACC-04] has access_status = deactivated.</t>
        </is>
      </c>
      <c r="J26" s="4" t="inlineStr">
        <is>
          <t>1. Sign in with the deactivated account and its correct password.</t>
        </is>
      </c>
      <c r="K26" s="4" t="inlineStr">
        <is>
          <t>[ACC-04] / Passw0rd1</t>
        </is>
      </c>
      <c r="L26" s="4" t="inlineStr">
        <is>
          <t>Same as suspended: "This account is not active."; no session retained.</t>
        </is>
      </c>
      <c r="M26" s="4" t="inlineStr">
        <is>
          <t>LGN-07</t>
        </is>
      </c>
      <c r="N26" s="4" t="inlineStr">
        <is>
          <t>auth.mutations.ts › loginWithEmailFn:126-129</t>
        </is>
      </c>
      <c r="O26" s="28" t="inlineStr"/>
      <c r="P26" s="29" t="n"/>
      <c r="Q26" s="30" t="inlineStr">
        <is>
          <t>Not Run</t>
        </is>
      </c>
      <c r="R26" s="30" t="n"/>
      <c r="S26" s="31" t="n"/>
      <c r="T26" s="29" t="n"/>
    </row>
    <row r="27" ht="49" customHeight="1">
      <c r="A27" s="27" t="inlineStr">
        <is>
          <t>TC-LGN-023</t>
        </is>
      </c>
      <c r="B27" s="4" t="inlineStr">
        <is>
          <t>Login</t>
        </is>
      </c>
      <c r="C27" s="4" t="inlineStr">
        <is>
          <t>Auth user with no profile row</t>
        </is>
      </c>
      <c r="D27" s="28" t="inlineStr">
        <is>
          <t>Edge</t>
        </is>
      </c>
      <c r="E27" s="28" t="inlineStr">
        <is>
          <t>Medium</t>
        </is>
      </c>
      <c r="F27" s="28" t="inlineStr">
        <is>
          <t>API</t>
        </is>
      </c>
      <c r="G27" s="28" t="inlineStr">
        <is>
          <t>Direct API call</t>
        </is>
      </c>
      <c r="H27" s="28" t="inlineStr">
        <is>
          <t>Extended</t>
        </is>
      </c>
      <c r="I27" s="4" t="inlineStr">
        <is>
          <t>[ACC-13] exists in auth.users with no profiles row.</t>
        </is>
      </c>
      <c r="J27" s="4" t="inlineStr">
        <is>
          <t>1. Sign in with the profile-less auth user.
2. Open /dashboard.
3. Call a protected server function.</t>
        </is>
      </c>
      <c r="K27" s="4" t="inlineStr">
        <is>
          <t>[ACC-13] / Passw0rd1</t>
        </is>
      </c>
      <c r="L27" s="4" t="inlineStr">
        <is>
          <t>No crash or 500. Protected server functions reject with "Unauthorized: profile missing"; no personnel audit event is written; user is not granted any staff/admin access.</t>
        </is>
      </c>
      <c r="M27" s="4" t="inlineStr">
        <is>
          <t>LGN-18, SES-08</t>
        </is>
      </c>
      <c r="N27" s="4" t="inlineStr">
        <is>
          <t>auth.mutations.ts › loginWithEmailFn:121-136; server/auth.ts:88</t>
        </is>
      </c>
      <c r="O27" s="28" t="inlineStr"/>
      <c r="P27" s="29" t="n"/>
      <c r="Q27" s="30" t="inlineStr">
        <is>
          <t>Not Run</t>
        </is>
      </c>
      <c r="R27" s="30" t="n"/>
      <c r="S27" s="31" t="n"/>
      <c r="T27" s="29" t="n"/>
    </row>
    <row r="28" ht="34" customHeight="1">
      <c r="A28" s="27" t="inlineStr">
        <is>
          <t>TC-LGN-024</t>
        </is>
      </c>
      <c r="B28" s="4" t="inlineStr">
        <is>
          <t>Login</t>
        </is>
      </c>
      <c r="C28" s="4" t="inlineStr">
        <is>
          <t>SQL-injection strings in credentials are inert</t>
        </is>
      </c>
      <c r="D28" s="28" t="inlineStr">
        <is>
          <t>Security</t>
        </is>
      </c>
      <c r="E28" s="28" t="inlineStr">
        <is>
          <t>High</t>
        </is>
      </c>
      <c r="F28" s="28" t="inlineStr">
        <is>
          <t>UI</t>
        </is>
      </c>
      <c r="G28" s="28" t="inlineStr">
        <is>
          <t>Manual UI</t>
        </is>
      </c>
      <c r="H28" s="28" t="inlineStr">
        <is>
          <t>Core</t>
        </is>
      </c>
      <c r="I28" s="4" t="inlineStr">
        <is>
          <t>App running and reachable; tester is signed out.</t>
        </is>
      </c>
      <c r="J28" s="4" t="inlineStr">
        <is>
          <t>1. Enter the payloads and submit.</t>
        </is>
      </c>
      <c r="K28" s="4" t="inlineStr">
        <is>
          <t>email: admin'--@x.com ; password: ' OR '1'='1</t>
        </is>
      </c>
      <c r="L28" s="4" t="inlineStr">
        <is>
          <t>Treated as literal text; result is the standard invalid-credentials message; no database error text is shown.</t>
        </is>
      </c>
      <c r="M28" s="4" t="inlineStr">
        <is>
          <t>LGN-01, LGN-05</t>
        </is>
      </c>
      <c r="N28" s="4" t="inlineStr">
        <is>
          <t>auth.mutations.ts › loginWithEmailFn</t>
        </is>
      </c>
      <c r="O28" s="28" t="inlineStr"/>
      <c r="P28" s="29" t="n"/>
      <c r="Q28" s="30" t="inlineStr">
        <is>
          <t>Not Run</t>
        </is>
      </c>
      <c r="R28" s="30" t="n"/>
      <c r="S28" s="31" t="n"/>
      <c r="T28" s="29" t="n"/>
    </row>
    <row r="29" ht="34" customHeight="1">
      <c r="A29" s="27" t="inlineStr">
        <is>
          <t>TC-LGN-025</t>
        </is>
      </c>
      <c r="B29" s="4" t="inlineStr">
        <is>
          <t>Login</t>
        </is>
      </c>
      <c r="C29" s="4" t="inlineStr">
        <is>
          <t>Script payload in the ?error= parameter is rendered as text</t>
        </is>
      </c>
      <c r="D29" s="28" t="inlineStr">
        <is>
          <t>Security</t>
        </is>
      </c>
      <c r="E29" s="28" t="inlineStr">
        <is>
          <t>High</t>
        </is>
      </c>
      <c r="F29" s="28" t="inlineStr">
        <is>
          <t>UI</t>
        </is>
      </c>
      <c r="G29" s="28" t="inlineStr">
        <is>
          <t>Manual UI</t>
        </is>
      </c>
      <c r="H29" s="28" t="inlineStr">
        <is>
          <t>Core</t>
        </is>
      </c>
      <c r="I29" s="4" t="inlineStr">
        <is>
          <t>App running and reachable; tester is signed out.</t>
        </is>
      </c>
      <c r="J29" s="4" t="inlineStr">
        <is>
          <t>1. Open /login?error=&lt;script&gt;alert(1)&lt;/script&gt;&lt;img src=x onerror=alert(2)&gt;</t>
        </is>
      </c>
      <c r="K29" s="4" t="inlineStr">
        <is>
          <t>query string as shown</t>
        </is>
      </c>
      <c r="L29" s="4" t="inlineStr">
        <is>
          <t>Banner displays the literal text; no script runs; no dialog appears.</t>
        </is>
      </c>
      <c r="M29" s="4" t="inlineStr">
        <is>
          <t>LGN-17</t>
        </is>
      </c>
      <c r="N29" s="4" t="inlineStr">
        <is>
          <t>login.tsx:11-14; LoginForm.tsx:169</t>
        </is>
      </c>
      <c r="O29" s="28" t="inlineStr"/>
      <c r="P29" s="29" t="n"/>
      <c r="Q29" s="30" t="inlineStr">
        <is>
          <t>Not Run</t>
        </is>
      </c>
      <c r="R29" s="30" t="n"/>
      <c r="S29" s="31" t="n"/>
      <c r="T29" s="29" t="n"/>
    </row>
    <row r="30" ht="34" customHeight="1">
      <c r="A30" s="27" t="inlineStr">
        <is>
          <t>TC-LGN-026</t>
        </is>
      </c>
      <c r="B30" s="4" t="inlineStr">
        <is>
          <t>Login</t>
        </is>
      </c>
      <c r="C30" s="4" t="inlineStr">
        <is>
          <t>Callback-failure message appears as a banner</t>
        </is>
      </c>
      <c r="D30" s="28" t="inlineStr">
        <is>
          <t>Positive</t>
        </is>
      </c>
      <c r="E30" s="28" t="inlineStr">
        <is>
          <t>Low</t>
        </is>
      </c>
      <c r="F30" s="28" t="inlineStr">
        <is>
          <t>UI</t>
        </is>
      </c>
      <c r="G30" s="28" t="inlineStr">
        <is>
          <t>Manual UI</t>
        </is>
      </c>
      <c r="H30" s="28" t="inlineStr">
        <is>
          <t>Extended</t>
        </is>
      </c>
      <c r="I30" s="4" t="inlineStr">
        <is>
          <t>App running and reachable; tester is signed out.</t>
        </is>
      </c>
      <c r="J30" s="4" t="inlineStr">
        <is>
          <t>1. Open /login?error=This invitation is invalid or has expired.</t>
        </is>
      </c>
      <c r="K30" s="4" t="inlineStr">
        <is>
          <t>query string as shown</t>
        </is>
      </c>
      <c r="L30" s="4" t="inlineStr">
        <is>
          <t>Destructive alert shows the message above the form; the form remains usable.</t>
        </is>
      </c>
      <c r="M30" s="4" t="inlineStr">
        <is>
          <t>LGN-17</t>
        </is>
      </c>
      <c r="N30" s="4" t="inlineStr">
        <is>
          <t>LoginForm.tsx:169-174</t>
        </is>
      </c>
      <c r="O30" s="28" t="inlineStr"/>
      <c r="P30" s="29" t="n"/>
      <c r="Q30" s="30" t="inlineStr">
        <is>
          <t>Not Run</t>
        </is>
      </c>
      <c r="R30" s="30" t="n"/>
      <c r="S30" s="31" t="n"/>
      <c r="T30" s="29" t="n"/>
    </row>
    <row r="31" ht="49" customHeight="1">
      <c r="A31" s="27" t="inlineStr">
        <is>
          <t>TC-LGN-027</t>
        </is>
      </c>
      <c r="B31" s="4" t="inlineStr">
        <is>
          <t>Login</t>
        </is>
      </c>
      <c r="C31" s="4" t="inlineStr">
        <is>
          <t>External absolute URL in ?redirect= must not be followed</t>
        </is>
      </c>
      <c r="D31" s="28" t="inlineStr">
        <is>
          <t>Security</t>
        </is>
      </c>
      <c r="E31" s="28" t="inlineStr">
        <is>
          <t>High</t>
        </is>
      </c>
      <c r="F31" s="28" t="inlineStr">
        <is>
          <t>UI</t>
        </is>
      </c>
      <c r="G31" s="28" t="inlineStr">
        <is>
          <t>Manual UI</t>
        </is>
      </c>
      <c r="H31" s="28" t="inlineStr">
        <is>
          <t>Core</t>
        </is>
      </c>
      <c r="I31" s="4" t="inlineStr">
        <is>
          <t>App running and reachable; tester is signed out.</t>
        </is>
      </c>
      <c r="J31" s="4" t="inlineStr">
        <is>
          <t>1. Open /login?redirect=https://evil.example/phish.
2. Sign in with valid credentials.</t>
        </is>
      </c>
      <c r="K31" s="4" t="inlineStr">
        <is>
          <t>[ACC-01]</t>
        </is>
      </c>
      <c r="L31" s="4" t="inlineStr">
        <is>
          <t>[Possible issue F-11 - needs a runtime check] User stays on the CiviCheck origin (falls back to /dashboard). Browser must never navigate to evil.example.</t>
        </is>
      </c>
      <c r="M31" s="4" t="inlineStr">
        <is>
          <t>LGN-04</t>
        </is>
      </c>
      <c r="N31" s="4" t="inlineStr">
        <is>
          <t>login.tsx:11-14; useLogin.ts:13</t>
        </is>
      </c>
      <c r="O31" s="28" t="inlineStr">
        <is>
          <t>F-11</t>
        </is>
      </c>
      <c r="P31" s="29" t="n"/>
      <c r="Q31" s="30" t="inlineStr">
        <is>
          <t>Not Run</t>
        </is>
      </c>
      <c r="R31" s="30" t="n"/>
      <c r="S31" s="31" t="n"/>
      <c r="T31" s="29" t="n"/>
    </row>
    <row r="32" ht="49" customHeight="1">
      <c r="A32" s="27" t="inlineStr">
        <is>
          <t>TC-LGN-028</t>
        </is>
      </c>
      <c r="B32" s="4" t="inlineStr">
        <is>
          <t>Login</t>
        </is>
      </c>
      <c r="C32" s="4" t="inlineStr">
        <is>
          <t>Protocol-relative and script-scheme redirect values are neutralised</t>
        </is>
      </c>
      <c r="D32" s="28" t="inlineStr">
        <is>
          <t>Security</t>
        </is>
      </c>
      <c r="E32" s="28" t="inlineStr">
        <is>
          <t>High</t>
        </is>
      </c>
      <c r="F32" s="28" t="inlineStr">
        <is>
          <t>UI</t>
        </is>
      </c>
      <c r="G32" s="28" t="inlineStr">
        <is>
          <t>Manual UI</t>
        </is>
      </c>
      <c r="H32" s="28" t="inlineStr">
        <is>
          <t>Core</t>
        </is>
      </c>
      <c r="I32" s="4" t="inlineStr">
        <is>
          <t>App running and reachable; tester is signed out.</t>
        </is>
      </c>
      <c r="J32" s="4" t="inlineStr">
        <is>
          <t>1. For each value open /login?redirect=&lt;value&gt; and sign in.</t>
        </is>
      </c>
      <c r="K32" s="4" t="inlineStr">
        <is>
          <t>//evil.example/x | /\evil.example | javascript:alert(1) | data:text/html,x</t>
        </is>
      </c>
      <c r="L32" s="4" t="inlineStr">
        <is>
          <t>[Possible issue F-11 - needs a runtime check] No navigation off-origin and no script execution; falls back to /dashboard or shows 404 inside the app.</t>
        </is>
      </c>
      <c r="M32" s="4" t="inlineStr">
        <is>
          <t>LGN-04</t>
        </is>
      </c>
      <c r="N32" s="4" t="inlineStr">
        <is>
          <t>useLogin.ts:13</t>
        </is>
      </c>
      <c r="O32" s="28" t="inlineStr">
        <is>
          <t>F-11</t>
        </is>
      </c>
      <c r="P32" s="29" t="n"/>
      <c r="Q32" s="30" t="inlineStr">
        <is>
          <t>Not Run</t>
        </is>
      </c>
      <c r="R32" s="30" t="n"/>
      <c r="S32" s="31" t="n"/>
      <c r="T32" s="29" t="n"/>
    </row>
    <row r="33" ht="34" customHeight="1">
      <c r="A33" s="27" t="inlineStr">
        <is>
          <t>TC-LGN-029</t>
        </is>
      </c>
      <c r="B33" s="4" t="inlineStr">
        <is>
          <t>Login</t>
        </is>
      </c>
      <c r="C33" s="4" t="inlineStr">
        <is>
          <t>Redirect to a non-existent in-app path</t>
        </is>
      </c>
      <c r="D33" s="28" t="inlineStr">
        <is>
          <t>Edge</t>
        </is>
      </c>
      <c r="E33" s="28" t="inlineStr">
        <is>
          <t>Medium</t>
        </is>
      </c>
      <c r="F33" s="28" t="inlineStr">
        <is>
          <t>UI</t>
        </is>
      </c>
      <c r="G33" s="28" t="inlineStr">
        <is>
          <t>Manual UI</t>
        </is>
      </c>
      <c r="H33" s="28" t="inlineStr">
        <is>
          <t>Extended</t>
        </is>
      </c>
      <c r="I33" s="4" t="inlineStr">
        <is>
          <t>App running and reachable; tester is signed out.</t>
        </is>
      </c>
      <c r="J33" s="4" t="inlineStr">
        <is>
          <t>1. Open /login?redirect=/does-not-exist.
2. Sign in.</t>
        </is>
      </c>
      <c r="K33" s="4" t="inlineStr">
        <is>
          <t>[ACC-01]</t>
        </is>
      </c>
      <c r="L33" s="4" t="inlineStr">
        <is>
          <t>Lands on the app's Not Found page with a route back to /dashboard; no blank page or unhandled error.</t>
        </is>
      </c>
      <c r="M33" s="4" t="inlineStr">
        <is>
          <t>LGN-04</t>
        </is>
      </c>
      <c r="N33" s="4" t="inlineStr">
        <is>
          <t>useLogin.ts:13</t>
        </is>
      </c>
      <c r="O33" s="28" t="inlineStr"/>
      <c r="P33" s="29" t="n"/>
      <c r="Q33" s="30" t="inlineStr">
        <is>
          <t>Not Run</t>
        </is>
      </c>
      <c r="R33" s="30" t="n"/>
      <c r="S33" s="31" t="n"/>
      <c r="T33" s="29" t="n"/>
    </row>
    <row r="34" ht="34" customHeight="1">
      <c r="A34" s="27" t="inlineStr">
        <is>
          <t>TC-LGN-030</t>
        </is>
      </c>
      <c r="B34" s="4" t="inlineStr">
        <is>
          <t>Login</t>
        </is>
      </c>
      <c r="C34" s="4" t="inlineStr">
        <is>
          <t>Redirect to a page the role cannot access</t>
        </is>
      </c>
      <c r="D34" s="28" t="inlineStr">
        <is>
          <t>Edge</t>
        </is>
      </c>
      <c r="E34" s="28" t="inlineStr">
        <is>
          <t>Medium</t>
        </is>
      </c>
      <c r="F34" s="28" t="inlineStr">
        <is>
          <t>UI</t>
        </is>
      </c>
      <c r="G34" s="28" t="inlineStr">
        <is>
          <t>Manual UI</t>
        </is>
      </c>
      <c r="H34" s="28" t="inlineStr">
        <is>
          <t>Extended</t>
        </is>
      </c>
      <c r="I34" s="4" t="inlineStr">
        <is>
          <t>App running and reachable; tester is signed out.</t>
        </is>
      </c>
      <c r="J34" s="4" t="inlineStr">
        <is>
          <t>1. Open /login?redirect=/admin/services.
2. Sign in as an applicant.</t>
        </is>
      </c>
      <c r="K34" s="4" t="inlineStr">
        <is>
          <t>[ACC-01]</t>
        </is>
      </c>
      <c r="L34" s="4" t="inlineStr">
        <is>
          <t>User is bounced to /dashboard (route guard); no admin data is rendered or fetched.</t>
        </is>
      </c>
      <c r="M34" s="4" t="inlineStr">
        <is>
          <t>LGN-04, SES-21</t>
        </is>
      </c>
      <c r="N34" s="4" t="inlineStr">
        <is>
          <t>admin/*.tsx beforeLoad</t>
        </is>
      </c>
      <c r="O34" s="28" t="inlineStr"/>
      <c r="P34" s="29" t="n"/>
      <c r="Q34" s="30" t="inlineStr">
        <is>
          <t>Not Run</t>
        </is>
      </c>
      <c r="R34" s="30" t="n"/>
      <c r="S34" s="31" t="n"/>
      <c r="T34" s="29" t="n"/>
    </row>
    <row r="35" ht="34" customHeight="1">
      <c r="A35" s="27" t="inlineStr">
        <is>
          <t>TC-LGN-031</t>
        </is>
      </c>
      <c r="B35" s="4" t="inlineStr">
        <is>
          <t>Login</t>
        </is>
      </c>
      <c r="C35" s="4" t="inlineStr">
        <is>
          <t>Double-click on Sign in sends a single request</t>
        </is>
      </c>
      <c r="D35" s="28" t="inlineStr">
        <is>
          <t>Edge</t>
        </is>
      </c>
      <c r="E35" s="28" t="inlineStr">
        <is>
          <t>High</t>
        </is>
      </c>
      <c r="F35" s="28" t="inlineStr">
        <is>
          <t>UI</t>
        </is>
      </c>
      <c r="G35" s="28" t="inlineStr">
        <is>
          <t>Manual UI</t>
        </is>
      </c>
      <c r="H35" s="28" t="inlineStr">
        <is>
          <t>Core</t>
        </is>
      </c>
      <c r="I35" s="4" t="inlineStr">
        <is>
          <t>App running and reachable; tester is signed out.</t>
        </is>
      </c>
      <c r="J35" s="4" t="inlineStr">
        <is>
          <t>1. Enter valid credentials.
2. Double-click Sign in quickly.</t>
        </is>
      </c>
      <c r="K35" s="4" t="inlineStr">
        <is>
          <t>[ACC-01]</t>
        </is>
      </c>
      <c r="L35" s="4" t="inlineStr">
        <is>
          <t>Exactly one sign-in request in the Network tab; button disabled with spinner while pending; no duplicate session events.</t>
        </is>
      </c>
      <c r="M35" s="4" t="inlineStr">
        <is>
          <t>LGN-11</t>
        </is>
      </c>
      <c r="N35" s="4" t="inlineStr">
        <is>
          <t>LoginForm.tsx:272-285</t>
        </is>
      </c>
      <c r="O35" s="28" t="inlineStr"/>
      <c r="P35" s="29" t="n"/>
      <c r="Q35" s="30" t="inlineStr">
        <is>
          <t>Not Run</t>
        </is>
      </c>
      <c r="R35" s="30" t="n"/>
      <c r="S35" s="31" t="n"/>
      <c r="T35" s="29" t="n"/>
    </row>
    <row r="36" ht="49" customHeight="1">
      <c r="A36" s="27" t="inlineStr">
        <is>
          <t>TC-LGN-032</t>
        </is>
      </c>
      <c r="B36" s="4" t="inlineStr">
        <is>
          <t>Login</t>
        </is>
      </c>
      <c r="C36" s="4" t="inlineStr">
        <is>
          <t>Server unreachable during sign-in</t>
        </is>
      </c>
      <c r="D36" s="28" t="inlineStr">
        <is>
          <t>Edge</t>
        </is>
      </c>
      <c r="E36" s="28" t="inlineStr">
        <is>
          <t>High</t>
        </is>
      </c>
      <c r="F36" s="28" t="inlineStr">
        <is>
          <t>UI</t>
        </is>
      </c>
      <c r="G36" s="28" t="inlineStr">
        <is>
          <t>Manual UI</t>
        </is>
      </c>
      <c r="H36" s="28" t="inlineStr">
        <is>
          <t>Core</t>
        </is>
      </c>
      <c r="I36" s="4" t="inlineStr">
        <is>
          <t>App running and reachable; tester is signed out.</t>
        </is>
      </c>
      <c r="J36" s="4" t="inlineStr">
        <is>
          <t>1. Go offline (DevTools → Offline).
2. Submit valid credentials.
3. Go back online and resubmit.</t>
        </is>
      </c>
      <c r="K36" s="4" t="inlineStr">
        <is>
          <t>[ACC-01]</t>
        </is>
      </c>
      <c r="L36" s="4" t="inlineStr">
        <is>
          <t>Alert "We could not reach the sign-in service. Please check your connection and try again."; button re-enabled; resubmission succeeds.</t>
        </is>
      </c>
      <c r="M36" s="4" t="inlineStr">
        <is>
          <t>LGN-10</t>
        </is>
      </c>
      <c r="N36" s="4" t="inlineStr">
        <is>
          <t>LoginForm.tsx:53-58</t>
        </is>
      </c>
      <c r="O36" s="28" t="inlineStr"/>
      <c r="P36" s="29" t="n"/>
      <c r="Q36" s="30" t="inlineStr">
        <is>
          <t>Not Run</t>
        </is>
      </c>
      <c r="R36" s="30" t="n"/>
      <c r="S36" s="31" t="n"/>
      <c r="T36" s="29" t="n"/>
    </row>
    <row r="37" ht="49" customHeight="1">
      <c r="A37" s="27" t="inlineStr">
        <is>
          <t>TC-LGN-033</t>
        </is>
      </c>
      <c r="B37" s="4" t="inlineStr">
        <is>
          <t>Login</t>
        </is>
      </c>
      <c r="C37" s="4" t="inlineStr">
        <is>
          <t>Backend returns an empty "{}" error body</t>
        </is>
      </c>
      <c r="D37" s="28" t="inlineStr">
        <is>
          <t>Edge</t>
        </is>
      </c>
      <c r="E37" s="28" t="inlineStr">
        <is>
          <t>Medium</t>
        </is>
      </c>
      <c r="F37" s="28" t="inlineStr">
        <is>
          <t>API</t>
        </is>
      </c>
      <c r="G37" s="28" t="inlineStr">
        <is>
          <t>Stub (temp edit)</t>
        </is>
      </c>
      <c r="H37" s="28" t="inlineStr">
        <is>
          <t>Extended</t>
        </is>
      </c>
      <c r="I37" s="4" t="inlineStr">
        <is>
          <t>App running and reachable; tester is signed out.</t>
        </is>
      </c>
      <c r="J37" s="4" t="inlineStr">
        <is>
          <t>1. Stub signInWithPassword to return error.message = "{}".
2. Submit credentials.</t>
        </is>
      </c>
      <c r="K37" s="4" t="inlineStr">
        <is>
          <t>stubbed error</t>
        </is>
      </c>
      <c r="L37" s="4" t="inlineStr">
        <is>
          <t>[Known issue F-16 - current code differs] User sees a friendly, non-technical message. Currently shows text mentioning the "Supabase connection".</t>
        </is>
      </c>
      <c r="M37" s="4" t="inlineStr">
        <is>
          <t>LGN-10</t>
        </is>
      </c>
      <c r="N37" s="4" t="inlineStr">
        <is>
          <t>auth.mutations.ts › loginWithEmailFn:111-118</t>
        </is>
      </c>
      <c r="O37" s="28" t="inlineStr">
        <is>
          <t>F-16</t>
        </is>
      </c>
      <c r="P37" s="29" t="n"/>
      <c r="Q37" s="30" t="inlineStr">
        <is>
          <t>Not Run</t>
        </is>
      </c>
      <c r="R37" s="30" t="n"/>
      <c r="S37" s="31" t="n"/>
      <c r="T37" s="29" t="n"/>
    </row>
    <row r="38" ht="64" customHeight="1">
      <c r="A38" s="27" t="inlineStr">
        <is>
          <t>TC-LGN-034</t>
        </is>
      </c>
      <c r="B38" s="4" t="inlineStr">
        <is>
          <t>Login</t>
        </is>
      </c>
      <c r="C38" s="4" t="inlineStr">
        <is>
          <t>"Keep me signed in" controls session persistence</t>
        </is>
      </c>
      <c r="D38" s="28" t="inlineStr">
        <is>
          <t>Edge</t>
        </is>
      </c>
      <c r="E38" s="28" t="inlineStr">
        <is>
          <t>Medium</t>
        </is>
      </c>
      <c r="F38" s="28" t="inlineStr">
        <is>
          <t>UI</t>
        </is>
      </c>
      <c r="G38" s="28" t="inlineStr">
        <is>
          <t>Manual UI</t>
        </is>
      </c>
      <c r="H38" s="28" t="inlineStr">
        <is>
          <t>Extended</t>
        </is>
      </c>
      <c r="I38" s="4" t="inlineStr">
        <is>
          <t>App running and reachable; tester is signed out.</t>
        </is>
      </c>
      <c r="J38" s="4" t="inlineStr">
        <is>
          <t>1. Untick "Keep me signed in" and sign in.
2. Inspect cookies; close and reopen the browser.
3. Repeat with the box ticked.</t>
        </is>
      </c>
      <c r="K38" s="4" t="inlineStr">
        <is>
          <t>[ACC-01]</t>
        </is>
      </c>
      <c r="L38" s="4" t="inlineStr">
        <is>
          <t>[Known issue F-01 - current code differs] Unticked: session cookie is non-persistent and the user is signed out after the browser restarts. Ticked: session survives. Currently the checkbox state is never sent to the server, so both behave the same.</t>
        </is>
      </c>
      <c r="M38" s="4" t="inlineStr">
        <is>
          <t>LGN-13</t>
        </is>
      </c>
      <c r="N38" s="4" t="inlineStr">
        <is>
          <t>LoginForm.tsx:90,253</t>
        </is>
      </c>
      <c r="O38" s="28" t="inlineStr">
        <is>
          <t>F-01</t>
        </is>
      </c>
      <c r="P38" s="29" t="n"/>
      <c r="Q38" s="30" t="inlineStr">
        <is>
          <t>Not Run</t>
        </is>
      </c>
      <c r="R38" s="30" t="n"/>
      <c r="S38" s="31" t="n"/>
      <c r="T38" s="29" t="n"/>
    </row>
    <row r="39" ht="49" customHeight="1">
      <c r="A39" s="27" t="inlineStr">
        <is>
          <t>TC-LGN-035</t>
        </is>
      </c>
      <c r="B39" s="4" t="inlineStr">
        <is>
          <t>Login</t>
        </is>
      </c>
      <c r="C39" s="4" t="inlineStr">
        <is>
          <t>Email length boundaries</t>
        </is>
      </c>
      <c r="D39" s="28" t="inlineStr">
        <is>
          <t>Boundary</t>
        </is>
      </c>
      <c r="E39" s="28" t="inlineStr">
        <is>
          <t>Low</t>
        </is>
      </c>
      <c r="F39" s="28" t="inlineStr">
        <is>
          <t>UI</t>
        </is>
      </c>
      <c r="G39" s="28" t="inlineStr">
        <is>
          <t>Manual UI</t>
        </is>
      </c>
      <c r="H39" s="28" t="inlineStr">
        <is>
          <t>Extended</t>
        </is>
      </c>
      <c r="I39" s="4" t="inlineStr">
        <is>
          <t>App running and reachable; tester is signed out.</t>
        </is>
      </c>
      <c r="J39" s="4" t="inlineStr">
        <is>
          <t>1. Submit a 254-char valid-format email.
2. Submit a 255+ char email.
3. Submit a 65-char local part.</t>
        </is>
      </c>
      <c r="K39" s="4" t="inlineStr">
        <is>
          <t>a…@b.com variants</t>
        </is>
      </c>
      <c r="L39" s="4" t="inlineStr">
        <is>
          <t>No crash/timeout. 254-char valid-format address returns standard invalid-credentials; over-length values are rejected by validation or the standard error.</t>
        </is>
      </c>
      <c r="M39" s="4" t="inlineStr">
        <is>
          <t>LGN-15</t>
        </is>
      </c>
      <c r="N39" s="4" t="inlineStr">
        <is>
          <t>LoginForm.tsx</t>
        </is>
      </c>
      <c r="O39" s="28" t="inlineStr"/>
      <c r="P39" s="29" t="n"/>
      <c r="Q39" s="30" t="inlineStr">
        <is>
          <t>Not Run</t>
        </is>
      </c>
      <c r="R39" s="30" t="n"/>
      <c r="S39" s="31" t="n"/>
      <c r="T39" s="29" t="n"/>
    </row>
    <row r="40" ht="34" customHeight="1">
      <c r="A40" s="27" t="inlineStr">
        <is>
          <t>TC-LGN-036</t>
        </is>
      </c>
      <c r="B40" s="4" t="inlineStr">
        <is>
          <t>Login</t>
        </is>
      </c>
      <c r="C40" s="4" t="inlineStr">
        <is>
          <t>Very long password (10,000 characters)</t>
        </is>
      </c>
      <c r="D40" s="28" t="inlineStr">
        <is>
          <t>Boundary</t>
        </is>
      </c>
      <c r="E40" s="28" t="inlineStr">
        <is>
          <t>Low</t>
        </is>
      </c>
      <c r="F40" s="28" t="inlineStr">
        <is>
          <t>UI</t>
        </is>
      </c>
      <c r="G40" s="28" t="inlineStr">
        <is>
          <t>Manual UI</t>
        </is>
      </c>
      <c r="H40" s="28" t="inlineStr">
        <is>
          <t>Extended</t>
        </is>
      </c>
      <c r="I40" s="4" t="inlineStr">
        <is>
          <t>App running and reachable; tester is signed out.</t>
        </is>
      </c>
      <c r="J40" s="4" t="inlineStr">
        <is>
          <t>1. Paste a 10,000-char string into Password.
2. Submit.</t>
        </is>
      </c>
      <c r="K40" s="4" t="inlineStr">
        <is>
          <t>10,000 × "a"</t>
        </is>
      </c>
      <c r="L40" s="4" t="inlineStr">
        <is>
          <t>Handled in normal time with the standard invalid-credentials message (or a validation message); no 500 or hang.</t>
        </is>
      </c>
      <c r="M40" s="4" t="inlineStr">
        <is>
          <t>LGN-02</t>
        </is>
      </c>
      <c r="N40" s="4" t="inlineStr">
        <is>
          <t>auth.mutations.ts › loginWithEmailFn</t>
        </is>
      </c>
      <c r="O40" s="28" t="inlineStr"/>
      <c r="P40" s="29" t="n"/>
      <c r="Q40" s="30" t="inlineStr">
        <is>
          <t>Not Run</t>
        </is>
      </c>
      <c r="R40" s="30" t="n"/>
      <c r="S40" s="31" t="n"/>
      <c r="T40" s="29" t="n"/>
    </row>
    <row r="41" ht="64" customHeight="1">
      <c r="A41" s="27" t="inlineStr">
        <is>
          <t>TC-LGN-037</t>
        </is>
      </c>
      <c r="B41" s="4" t="inlineStr">
        <is>
          <t>Login</t>
        </is>
      </c>
      <c r="C41" s="4" t="inlineStr">
        <is>
          <t>Surrounding whitespace in email</t>
        </is>
      </c>
      <c r="D41" s="28" t="inlineStr">
        <is>
          <t>Edge</t>
        </is>
      </c>
      <c r="E41" s="28" t="inlineStr">
        <is>
          <t>Medium</t>
        </is>
      </c>
      <c r="F41" s="28" t="inlineStr">
        <is>
          <t>UI</t>
        </is>
      </c>
      <c r="G41" s="28" t="inlineStr">
        <is>
          <t>Manual UI</t>
        </is>
      </c>
      <c r="H41" s="28" t="inlineStr">
        <is>
          <t>Extended</t>
        </is>
      </c>
      <c r="I41" s="4" t="inlineStr">
        <is>
          <t>App running and reachable; tester is signed out.</t>
        </is>
      </c>
      <c r="J41" s="4" t="inlineStr">
        <is>
          <t>1. Type "  [ACC-01 email]  " (leading and trailing spaces).
2. Enter the password.
3. Submit.</t>
        </is>
      </c>
      <c r="K41" s="4" t="inlineStr">
        <is>
          <t>[ACC-01]</t>
        </is>
      </c>
      <c r="L41" s="4" t="inlineStr">
        <is>
          <t>Browser type=email sanitisation trims the spaces; sign-in succeeds. If spaces survive, a validation message appears - never a server error.</t>
        </is>
      </c>
      <c r="M41" s="4" t="inlineStr">
        <is>
          <t>LGN-15</t>
        </is>
      </c>
      <c r="N41" s="4" t="inlineStr">
        <is>
          <t>LoginForm.tsx:194-201</t>
        </is>
      </c>
      <c r="O41" s="28" t="inlineStr"/>
      <c r="P41" s="29" t="n"/>
      <c r="Q41" s="30" t="inlineStr">
        <is>
          <t>Not Run</t>
        </is>
      </c>
      <c r="R41" s="30" t="n"/>
      <c r="S41" s="31" t="n"/>
      <c r="T41" s="29" t="n"/>
    </row>
    <row r="42" ht="79" customHeight="1">
      <c r="A42" s="27" t="inlineStr">
        <is>
          <t>TC-LGN-038</t>
        </is>
      </c>
      <c r="B42" s="4" t="inlineStr">
        <is>
          <t>Login</t>
        </is>
      </c>
      <c r="C42" s="4" t="inlineStr">
        <is>
          <t>Repeated failed sign-ins hit platform rate limiting gracefully</t>
        </is>
      </c>
      <c r="D42" s="28" t="inlineStr">
        <is>
          <t>Security</t>
        </is>
      </c>
      <c r="E42" s="28" t="inlineStr">
        <is>
          <t>Medium</t>
        </is>
      </c>
      <c r="F42" s="28" t="inlineStr">
        <is>
          <t>UI</t>
        </is>
      </c>
      <c r="G42" s="28" t="inlineStr">
        <is>
          <t>Manual UI</t>
        </is>
      </c>
      <c r="H42" s="28" t="inlineStr">
        <is>
          <t>Extended</t>
        </is>
      </c>
      <c r="I42" s="4" t="inlineStr">
        <is>
          <t>App running and reachable; tester is signed out.</t>
        </is>
      </c>
      <c r="J42" s="4" t="inlineStr">
        <is>
          <t>1. Submit a wrong password 10+ times within a minute.
2. Wait for the limit to clear; sign in correctly.</t>
        </is>
      </c>
      <c r="K42" s="4" t="inlineStr">
        <is>
          <t>[ACC-01] / wrong password ×10+</t>
        </is>
      </c>
      <c r="L42" s="4" t="inlineStr">
        <is>
          <t>[Known issue F-08 - current code differs] Each failure shows a readable message (rate-limit text from Supabase is shown without stack trace). Each rejected attempt writes a sign_in_failed event. The account is not permanently locked; the correct password works after the window.</t>
        </is>
      </c>
      <c r="M42" s="4" t="inlineStr">
        <is>
          <t>LGN-20, LGN-08, AUD-03</t>
        </is>
      </c>
      <c r="N42" s="4" t="inlineStr">
        <is>
          <t>auth.mutations.ts › loginWithEmailFn</t>
        </is>
      </c>
      <c r="O42" s="28" t="inlineStr">
        <is>
          <t>F-08</t>
        </is>
      </c>
      <c r="P42" s="29" t="n"/>
      <c r="Q42" s="30" t="inlineStr">
        <is>
          <t>Not Run</t>
        </is>
      </c>
      <c r="R42" s="30" t="n"/>
      <c r="S42" s="31" t="n"/>
      <c r="T42" s="29" t="n"/>
    </row>
    <row r="43" ht="34" customHeight="1">
      <c r="A43" s="27" t="inlineStr">
        <is>
          <t>TC-LGN-039</t>
        </is>
      </c>
      <c r="B43" s="4" t="inlineStr">
        <is>
          <t>Login</t>
        </is>
      </c>
      <c r="C43" s="4" t="inlineStr">
        <is>
          <t>Password-manager autofill populates both fields</t>
        </is>
      </c>
      <c r="D43" s="28" t="inlineStr">
        <is>
          <t>Edge</t>
        </is>
      </c>
      <c r="E43" s="28" t="inlineStr">
        <is>
          <t>Low</t>
        </is>
      </c>
      <c r="F43" s="28" t="inlineStr">
        <is>
          <t>UI</t>
        </is>
      </c>
      <c r="G43" s="28" t="inlineStr">
        <is>
          <t>Manual UI</t>
        </is>
      </c>
      <c r="H43" s="28" t="inlineStr">
        <is>
          <t>Extended</t>
        </is>
      </c>
      <c r="I43" s="4" t="inlineStr">
        <is>
          <t>App running and reachable; tester is signed out.</t>
        </is>
      </c>
      <c r="J43" s="4" t="inlineStr">
        <is>
          <t>1. Autofill saved credentials.
2. Submit without touching either field.</t>
        </is>
      </c>
      <c r="K43" s="4" t="inlineStr">
        <is>
          <t>browser-saved [ACC-01]</t>
        </is>
      </c>
      <c r="L43" s="4" t="inlineStr">
        <is>
          <t>Form submits successfully (values registered with react-hook-form despite onBlur mode).</t>
        </is>
      </c>
      <c r="M43" s="4" t="inlineStr">
        <is>
          <t>LGN-02, LGN-03</t>
        </is>
      </c>
      <c r="N43" s="4" t="inlineStr">
        <is>
          <t>LoginForm.tsx:104-111</t>
        </is>
      </c>
      <c r="O43" s="28" t="inlineStr"/>
      <c r="P43" s="29" t="n"/>
      <c r="Q43" s="30" t="inlineStr">
        <is>
          <t>Not Run</t>
        </is>
      </c>
      <c r="R43" s="30" t="n"/>
      <c r="S43" s="31" t="n"/>
      <c r="T43" s="29" t="n"/>
    </row>
    <row r="44" ht="34" customHeight="1">
      <c r="A44" s="27" t="inlineStr">
        <is>
          <t>TC-LGN-040</t>
        </is>
      </c>
      <c r="B44" s="4" t="inlineStr">
        <is>
          <t>Login</t>
        </is>
      </c>
      <c r="C44" s="4" t="inlineStr">
        <is>
          <t>Form recovers after a failed attempt</t>
        </is>
      </c>
      <c r="D44" s="28" t="inlineStr">
        <is>
          <t>Positive</t>
        </is>
      </c>
      <c r="E44" s="28" t="inlineStr">
        <is>
          <t>Medium</t>
        </is>
      </c>
      <c r="F44" s="28" t="inlineStr">
        <is>
          <t>UI</t>
        </is>
      </c>
      <c r="G44" s="28" t="inlineStr">
        <is>
          <t>Manual UI</t>
        </is>
      </c>
      <c r="H44" s="28" t="inlineStr">
        <is>
          <t>Extended</t>
        </is>
      </c>
      <c r="I44" s="4" t="inlineStr">
        <is>
          <t>App running and reachable; tester is signed out.</t>
        </is>
      </c>
      <c r="J44" s="4" t="inlineStr">
        <is>
          <t>1. Submit a wrong password.
2. Correct the password and resubmit.</t>
        </is>
      </c>
      <c r="K44" s="4" t="inlineStr">
        <is>
          <t>[ACC-01]</t>
        </is>
      </c>
      <c r="L44" s="4" t="inlineStr">
        <is>
          <t>Second submit succeeds and the error alert disappears; no stale error persists after redirect.</t>
        </is>
      </c>
      <c r="M44" s="4" t="inlineStr">
        <is>
          <t>LGN-05, LGN-03</t>
        </is>
      </c>
      <c r="N44" s="4" t="inlineStr">
        <is>
          <t>LoginForm.tsx</t>
        </is>
      </c>
      <c r="O44" s="28" t="inlineStr"/>
      <c r="P44" s="29" t="n"/>
      <c r="Q44" s="30" t="inlineStr">
        <is>
          <t>Not Run</t>
        </is>
      </c>
      <c r="R44" s="30" t="n"/>
      <c r="S44" s="31" t="n"/>
      <c r="T44" s="29" t="n"/>
    </row>
    <row r="45" ht="49" customHeight="1">
      <c r="A45" s="27" t="inlineStr">
        <is>
          <t>TC-LGN-041</t>
        </is>
      </c>
      <c r="B45" s="4" t="inlineStr">
        <is>
          <t>Login</t>
        </is>
      </c>
      <c r="C45" s="4" t="inlineStr">
        <is>
          <t>Sign-in still works when security telemetry fails</t>
        </is>
      </c>
      <c r="D45" s="28" t="inlineStr">
        <is>
          <t>Edge</t>
        </is>
      </c>
      <c r="E45" s="28" t="inlineStr">
        <is>
          <t>Medium</t>
        </is>
      </c>
      <c r="F45" s="28" t="inlineStr">
        <is>
          <t>DB</t>
        </is>
      </c>
      <c r="G45" s="28" t="inlineStr">
        <is>
          <t>Manual + DB</t>
        </is>
      </c>
      <c r="H45" s="28" t="inlineStr">
        <is>
          <t>Extended</t>
        </is>
      </c>
      <c r="I45" s="4" t="inlineStr">
        <is>
          <t>App running and reachable; tester is signed out.</t>
        </is>
      </c>
      <c r="J45" s="4" t="inlineStr">
        <is>
          <t>1. Make inserts into system_security_events fail (test DB).
2. Sign in as staff.</t>
        </is>
      </c>
      <c r="K45" s="4" t="inlineStr">
        <is>
          <t>[ACC-05]</t>
        </is>
      </c>
      <c r="L45" s="4" t="inlineStr">
        <is>
          <t>Sign-in succeeds; only a console warning is logged; no user-facing error.</t>
        </is>
      </c>
      <c r="M45" s="4" t="inlineStr">
        <is>
          <t>AUD-07, LGN-09</t>
        </is>
      </c>
      <c r="N45" s="4" t="inlineStr">
        <is>
          <t>security-center.server.ts:60-65</t>
        </is>
      </c>
      <c r="O45" s="28" t="inlineStr"/>
      <c r="P45" s="29" t="n"/>
      <c r="Q45" s="30" t="inlineStr">
        <is>
          <t>Not Run</t>
        </is>
      </c>
      <c r="R45" s="30" t="n"/>
      <c r="S45" s="31" t="n"/>
      <c r="T45" s="29" t="n"/>
    </row>
    <row r="46" ht="34" customHeight="1">
      <c r="A46" s="27" t="inlineStr">
        <is>
          <t>TC-LGN-042</t>
        </is>
      </c>
      <c r="B46" s="4" t="inlineStr">
        <is>
          <t>Login</t>
        </is>
      </c>
      <c r="C46" s="4" t="inlineStr">
        <is>
          <t>Keyboard and screen-reader operation of the login form</t>
        </is>
      </c>
      <c r="D46" s="28" t="inlineStr">
        <is>
          <t>Positive</t>
        </is>
      </c>
      <c r="E46" s="28" t="inlineStr">
        <is>
          <t>Low</t>
        </is>
      </c>
      <c r="F46" s="28" t="inlineStr">
        <is>
          <t>UI</t>
        </is>
      </c>
      <c r="G46" s="28" t="inlineStr">
        <is>
          <t>Manual UI</t>
        </is>
      </c>
      <c r="H46" s="28" t="inlineStr">
        <is>
          <t>Extended</t>
        </is>
      </c>
      <c r="I46" s="4" t="inlineStr">
        <is>
          <t>App running and reachable; tester is signed out.</t>
        </is>
      </c>
      <c r="J46" s="4" t="inlineStr">
        <is>
          <t>1. Tab through the form; submit with Enter.
2. Trigger an error and inspect ARIA.</t>
        </is>
      </c>
      <c r="K46" s="4" t="inlineStr">
        <is>
          <t>—</t>
        </is>
      </c>
      <c r="L46" s="4" t="inlineStr">
        <is>
          <t>Logical tab order; labels linked to inputs; invalid fields expose aria-invalid; Enter submits; focus is visible.</t>
        </is>
      </c>
      <c r="M46" s="4" t="inlineStr">
        <is>
          <t>LGN-12, LGN-01</t>
        </is>
      </c>
      <c r="N46" s="4" t="inlineStr">
        <is>
          <t>LoginForm.tsx</t>
        </is>
      </c>
      <c r="O46" s="28" t="inlineStr"/>
      <c r="P46" s="29" t="n"/>
      <c r="Q46" s="30" t="inlineStr">
        <is>
          <t>Not Run</t>
        </is>
      </c>
      <c r="R46" s="30" t="n"/>
      <c r="S46" s="31" t="n"/>
      <c r="T46" s="29" t="n"/>
    </row>
    <row r="47" ht="79" customHeight="1">
      <c r="A47" s="27" t="inlineStr">
        <is>
          <t>TC-LGN-043</t>
        </is>
      </c>
      <c r="B47" s="4" t="inlineStr">
        <is>
          <t>Login</t>
        </is>
      </c>
      <c r="C47" s="4" t="inlineStr">
        <is>
          <t>Unused route-level loginFn bypasses sign-in auditing</t>
        </is>
      </c>
      <c r="D47" s="28" t="inlineStr">
        <is>
          <t>Security</t>
        </is>
      </c>
      <c r="E47" s="28" t="inlineStr">
        <is>
          <t>Medium</t>
        </is>
      </c>
      <c r="F47" s="28" t="inlineStr">
        <is>
          <t>API</t>
        </is>
      </c>
      <c r="G47" s="28" t="inlineStr">
        <is>
          <t>Direct API call</t>
        </is>
      </c>
      <c r="H47" s="28" t="inlineStr">
        <is>
          <t>Extended</t>
        </is>
      </c>
      <c r="I47" s="4" t="inlineStr">
        <is>
          <t>App running and reachable; tester is signed out.</t>
        </is>
      </c>
      <c r="J47" s="4" t="inlineStr">
        <is>
          <t>1. POST directly to the server function exported from routes/_authed/route.tsx (loginFn) with a wrong password for a staff account.
2. Query system_security_events.</t>
        </is>
      </c>
      <c r="K47" s="4" t="inlineStr">
        <is>
          <t>[ACC-05] / wrong password</t>
        </is>
      </c>
      <c r="L47" s="4" t="inlineStr">
        <is>
          <t>[Known issue F-14 - current code differs] Behaviour matches the real sign-in path: failure is recorded as sign_in_failed and inactive accounts are refused. Currently this duplicate path records no security event (and no session event on success), so it should be removed.</t>
        </is>
      </c>
      <c r="M47" s="4" t="inlineStr">
        <is>
          <t>LGN-08, LGN-20</t>
        </is>
      </c>
      <c r="N47" s="4" t="inlineStr">
        <is>
          <t>_authed/route.tsx:5-37</t>
        </is>
      </c>
      <c r="O47" s="28" t="inlineStr">
        <is>
          <t>F-14</t>
        </is>
      </c>
      <c r="P47" s="29" t="n"/>
      <c r="Q47" s="30" t="inlineStr">
        <is>
          <t>Not Run</t>
        </is>
      </c>
      <c r="R47" s="30" t="n"/>
      <c r="S47" s="31" t="n"/>
      <c r="T47" s="29" t="n"/>
    </row>
    <row r="48" ht="64" customHeight="1">
      <c r="A48" s="27" t="inlineStr">
        <is>
          <t>TC-REG-001</t>
        </is>
      </c>
      <c r="B48" s="4" t="inlineStr">
        <is>
          <t>Registration</t>
        </is>
      </c>
      <c r="C48" s="4" t="inlineStr">
        <is>
          <t>Register with all fields including a middle name</t>
        </is>
      </c>
      <c r="D48" s="28" t="inlineStr">
        <is>
          <t>Positive</t>
        </is>
      </c>
      <c r="E48" s="28" t="inlineStr">
        <is>
          <t>High</t>
        </is>
      </c>
      <c r="F48" s="28" t="inlineStr">
        <is>
          <t>UI</t>
        </is>
      </c>
      <c r="G48" s="28" t="inlineStr">
        <is>
          <t>Manual UI</t>
        </is>
      </c>
      <c r="H48" s="28" t="inlineStr">
        <is>
          <t>Smoke</t>
        </is>
      </c>
      <c r="I48" s="4" t="inlineStr">
        <is>
          <t>Signed out; test inbox is reachable.</t>
        </is>
      </c>
      <c r="J48" s="4" t="inlineStr">
        <is>
          <t>1. Open /signup.
2. Fill first, last and middle name, email and password; tick Terms.
3. Click Sign up.</t>
        </is>
      </c>
      <c r="K48" s="4" t="inlineStr">
        <is>
          <t>Juan / Santos / Dela Cruz / new email / Passw0rd1</t>
        </is>
      </c>
      <c r="L48" s="4" t="inlineStr">
        <is>
          <t>Spinner "Creating account"; verify-email dialog opens; OTP email arrives; account is unconfirmed (cannot sign in yet); the form is cleared.</t>
        </is>
      </c>
      <c r="M48" s="4" t="inlineStr">
        <is>
          <t>REG-08, REG-19, EML-02</t>
        </is>
      </c>
      <c r="N48" s="4" t="inlineStr">
        <is>
          <t>RegisterForm.tsx; auth.mutations.ts › signupFn</t>
        </is>
      </c>
      <c r="O48" s="28" t="inlineStr"/>
      <c r="P48" s="29" t="n"/>
      <c r="Q48" s="30" t="inlineStr">
        <is>
          <t>Not Run</t>
        </is>
      </c>
      <c r="R48" s="30" t="n"/>
      <c r="S48" s="31" t="n"/>
      <c r="T48" s="29" t="n"/>
    </row>
    <row r="49" ht="49" customHeight="1">
      <c r="A49" s="27" t="inlineStr">
        <is>
          <t>TC-REG-002</t>
        </is>
      </c>
      <c r="B49" s="4" t="inlineStr">
        <is>
          <t>Registration</t>
        </is>
      </c>
      <c r="C49" s="4" t="inlineStr">
        <is>
          <t>Register with "I have no middle name" ticked</t>
        </is>
      </c>
      <c r="D49" s="28" t="inlineStr">
        <is>
          <t>Positive</t>
        </is>
      </c>
      <c r="E49" s="28" t="inlineStr">
        <is>
          <t>High</t>
        </is>
      </c>
      <c r="F49" s="28" t="inlineStr">
        <is>
          <t>UI</t>
        </is>
      </c>
      <c r="G49" s="28" t="inlineStr">
        <is>
          <t>Manual UI</t>
        </is>
      </c>
      <c r="H49" s="28" t="inlineStr">
        <is>
          <t>Core</t>
        </is>
      </c>
      <c r="I49" s="4" t="inlineStr">
        <is>
          <t>Signed out; test inbox is reachable.</t>
        </is>
      </c>
      <c r="J49" s="4" t="inlineStr">
        <is>
          <t>1. Tick "I have no middle name".
2. Complete the rest of the form.
3. Submit.</t>
        </is>
      </c>
      <c r="K49" s="4" t="inlineStr">
        <is>
          <t>middle name disabled</t>
        </is>
      </c>
      <c r="L49" s="4" t="inlineStr">
        <is>
          <t>Middle-name input is disabled (placeholder "Not applicable"); submission succeeds with an empty middle name; profiles.middle_name stays null/empty.</t>
        </is>
      </c>
      <c r="M49" s="4" t="inlineStr">
        <is>
          <t>REG-03, REG-08</t>
        </is>
      </c>
      <c r="N49" s="4" t="inlineStr">
        <is>
          <t>RegisterForm.tsx:55-58,112</t>
        </is>
      </c>
      <c r="O49" s="28" t="inlineStr"/>
      <c r="P49" s="29" t="n"/>
      <c r="Q49" s="30" t="inlineStr">
        <is>
          <t>Not Run</t>
        </is>
      </c>
      <c r="R49" s="30" t="n"/>
      <c r="S49" s="31" t="n"/>
      <c r="T49" s="29" t="n"/>
    </row>
    <row r="50" ht="34" customHeight="1">
      <c r="A50" s="27" t="inlineStr">
        <is>
          <t>TC-REG-003</t>
        </is>
      </c>
      <c r="B50" s="4" t="inlineStr">
        <is>
          <t>Registration</t>
        </is>
      </c>
      <c r="C50" s="4" t="inlineStr">
        <is>
          <t>Ticking "no middle name" clears text and error</t>
        </is>
      </c>
      <c r="D50" s="28" t="inlineStr">
        <is>
          <t>Positive</t>
        </is>
      </c>
      <c r="E50" s="28" t="inlineStr">
        <is>
          <t>Medium</t>
        </is>
      </c>
      <c r="F50" s="28" t="inlineStr">
        <is>
          <t>UI</t>
        </is>
      </c>
      <c r="G50" s="28" t="inlineStr">
        <is>
          <t>Manual UI</t>
        </is>
      </c>
      <c r="H50" s="28" t="inlineStr">
        <is>
          <t>Extended</t>
        </is>
      </c>
      <c r="I50" s="4" t="inlineStr">
        <is>
          <t>Signed out; test inbox is reachable.</t>
        </is>
      </c>
      <c r="J50" s="4" t="inlineStr">
        <is>
          <t>1. Type a middle name.
2. Tick "I have no middle name".</t>
        </is>
      </c>
      <c r="K50" s="4" t="inlineStr">
        <is>
          <t>Santos</t>
        </is>
      </c>
      <c r="L50" s="4" t="inlineStr">
        <is>
          <t>Field is emptied, disabled, and any middle-name error disappears; the old value is not submitted.</t>
        </is>
      </c>
      <c r="M50" s="4" t="inlineStr">
        <is>
          <t>REG-03</t>
        </is>
      </c>
      <c r="N50" s="4" t="inlineStr">
        <is>
          <t>RegisterForm.tsx:251-260</t>
        </is>
      </c>
      <c r="O50" s="28" t="inlineStr"/>
      <c r="P50" s="29" t="n"/>
      <c r="Q50" s="30" t="inlineStr">
        <is>
          <t>Not Run</t>
        </is>
      </c>
      <c r="R50" s="30" t="n"/>
      <c r="S50" s="31" t="n"/>
      <c r="T50" s="29" t="n"/>
    </row>
    <row r="51" ht="34" customHeight="1">
      <c r="A51" s="27" t="inlineStr">
        <is>
          <t>TC-REG-004</t>
        </is>
      </c>
      <c r="B51" s="4" t="inlineStr">
        <is>
          <t>Registration</t>
        </is>
      </c>
      <c r="C51" s="4" t="inlineStr">
        <is>
          <t>Un-ticking "no middle name" re-enables the field and the rule</t>
        </is>
      </c>
      <c r="D51" s="28" t="inlineStr">
        <is>
          <t>Edge</t>
        </is>
      </c>
      <c r="E51" s="28" t="inlineStr">
        <is>
          <t>Medium</t>
        </is>
      </c>
      <c r="F51" s="28" t="inlineStr">
        <is>
          <t>UI</t>
        </is>
      </c>
      <c r="G51" s="28" t="inlineStr">
        <is>
          <t>Manual UI</t>
        </is>
      </c>
      <c r="H51" s="28" t="inlineStr">
        <is>
          <t>Extended</t>
        </is>
      </c>
      <c r="I51" s="4" t="inlineStr">
        <is>
          <t>Signed out; test inbox is reachable.</t>
        </is>
      </c>
      <c r="J51" s="4" t="inlineStr">
        <is>
          <t>1. Tick the box, then untick it.
2. Leave the field empty and submit.</t>
        </is>
      </c>
      <c r="K51" s="4" t="inlineStr">
        <is>
          <t>—</t>
        </is>
      </c>
      <c r="L51" s="4" t="inlineStr">
        <is>
          <t>Field is enabled again; submit shows "Enter your middle name, or tick "I have no middle name"".</t>
        </is>
      </c>
      <c r="M51" s="4" t="inlineStr">
        <is>
          <t>REG-03</t>
        </is>
      </c>
      <c r="N51" s="4" t="inlineStr">
        <is>
          <t>RegisterForm.tsx</t>
        </is>
      </c>
      <c r="O51" s="28" t="inlineStr"/>
      <c r="P51" s="29" t="n"/>
      <c r="Q51" s="30" t="inlineStr">
        <is>
          <t>Not Run</t>
        </is>
      </c>
      <c r="R51" s="30" t="n"/>
      <c r="S51" s="31" t="n"/>
      <c r="T51" s="29" t="n"/>
    </row>
    <row r="52" ht="34" customHeight="1">
      <c r="A52" s="27" t="inlineStr">
        <is>
          <t>TC-REG-005</t>
        </is>
      </c>
      <c r="B52" s="4" t="inlineStr">
        <is>
          <t>Registration</t>
        </is>
      </c>
      <c r="C52" s="4" t="inlineStr">
        <is>
          <t>Middle name is saved on the profile</t>
        </is>
      </c>
      <c r="D52" s="28" t="inlineStr">
        <is>
          <t>Positive</t>
        </is>
      </c>
      <c r="E52" s="28" t="inlineStr">
        <is>
          <t>High</t>
        </is>
      </c>
      <c r="F52" s="28" t="inlineStr">
        <is>
          <t>DB</t>
        </is>
      </c>
      <c r="G52" s="28" t="inlineStr">
        <is>
          <t>Manual + DB</t>
        </is>
      </c>
      <c r="H52" s="28" t="inlineStr">
        <is>
          <t>Core</t>
        </is>
      </c>
      <c r="I52" s="4" t="inlineStr">
        <is>
          <t>Signed out; test inbox is reachable.</t>
        </is>
      </c>
      <c r="J52" s="4" t="inlineStr">
        <is>
          <t>1. Register with a middle name; confirm the email.
2. Query profiles for the new user.</t>
        </is>
      </c>
      <c r="K52" s="4" t="inlineStr">
        <is>
          <t>middle name: Santos</t>
        </is>
      </c>
      <c r="L52" s="4" t="inlineStr">
        <is>
          <t>profiles.middle_name = "Santos" (the trigger only copies first/last name; signupFn writes the middle name).</t>
        </is>
      </c>
      <c r="M52" s="4" t="inlineStr">
        <is>
          <t>REG-09</t>
        </is>
      </c>
      <c r="N52" s="4" t="inlineStr">
        <is>
          <t>auth.mutations.ts › signupFn:239-245</t>
        </is>
      </c>
      <c r="O52" s="28" t="inlineStr"/>
      <c r="P52" s="29" t="n"/>
      <c r="Q52" s="30" t="inlineStr">
        <is>
          <t>Not Run</t>
        </is>
      </c>
      <c r="R52" s="30" t="n"/>
      <c r="S52" s="31" t="n"/>
      <c r="T52" s="29" t="n"/>
    </row>
    <row r="53" ht="34" customHeight="1">
      <c r="A53" s="27" t="inlineStr">
        <is>
          <t>TC-REG-006</t>
        </is>
      </c>
      <c r="B53" s="4" t="inlineStr">
        <is>
          <t>Registration</t>
        </is>
      </c>
      <c r="C53" s="4" t="inlineStr">
        <is>
          <t>New profile gets the applicant role and active status</t>
        </is>
      </c>
      <c r="D53" s="28" t="inlineStr">
        <is>
          <t>Positive</t>
        </is>
      </c>
      <c r="E53" s="28" t="inlineStr">
        <is>
          <t>High</t>
        </is>
      </c>
      <c r="F53" s="28" t="inlineStr">
        <is>
          <t>DB</t>
        </is>
      </c>
      <c r="G53" s="28" t="inlineStr">
        <is>
          <t>Manual + DB</t>
        </is>
      </c>
      <c r="H53" s="28" t="inlineStr">
        <is>
          <t>Core</t>
        </is>
      </c>
      <c r="I53" s="4" t="inlineStr">
        <is>
          <t>Signed out; test inbox is reachable.</t>
        </is>
      </c>
      <c r="J53" s="4" t="inlineStr">
        <is>
          <t>1. Register and confirm a new account.
2. Query profiles.</t>
        </is>
      </c>
      <c r="K53" s="4" t="inlineStr">
        <is>
          <t>new user</t>
        </is>
      </c>
      <c r="L53" s="4" t="inlineStr">
        <is>
          <t>role = applicant; access_status = active; first/last name match input.</t>
        </is>
      </c>
      <c r="M53" s="4" t="inlineStr">
        <is>
          <t>REG-18</t>
        </is>
      </c>
      <c r="N53" s="4" t="inlineStr">
        <is>
          <t>handle_new_user trigger; migrations</t>
        </is>
      </c>
      <c r="O53" s="28" t="inlineStr"/>
      <c r="P53" s="29" t="n"/>
      <c r="Q53" s="30" t="inlineStr">
        <is>
          <t>Not Run</t>
        </is>
      </c>
      <c r="R53" s="30" t="n"/>
      <c r="S53" s="31" t="n"/>
      <c r="T53" s="29" t="n"/>
    </row>
    <row r="54" ht="34" customHeight="1">
      <c r="A54" s="27" t="inlineStr">
        <is>
          <t>TC-REG-007</t>
        </is>
      </c>
      <c r="B54" s="4" t="inlineStr">
        <is>
          <t>Registration</t>
        </is>
      </c>
      <c r="C54" s="4" t="inlineStr">
        <is>
          <t>Names with accents, hyphens, apostrophes and spaces</t>
        </is>
      </c>
      <c r="D54" s="28" t="inlineStr">
        <is>
          <t>Positive</t>
        </is>
      </c>
      <c r="E54" s="28" t="inlineStr">
        <is>
          <t>Medium</t>
        </is>
      </c>
      <c r="F54" s="28" t="inlineStr">
        <is>
          <t>UI</t>
        </is>
      </c>
      <c r="G54" s="28" t="inlineStr">
        <is>
          <t>Manual UI</t>
        </is>
      </c>
      <c r="H54" s="28" t="inlineStr">
        <is>
          <t>Extended</t>
        </is>
      </c>
      <c r="I54" s="4" t="inlineStr">
        <is>
          <t>Signed out; test inbox is reachable.</t>
        </is>
      </c>
      <c r="J54" s="4" t="inlineStr">
        <is>
          <t>1. Register with each name set; confirm; open the dashboard.</t>
        </is>
      </c>
      <c r="K54" s="4" t="inlineStr">
        <is>
          <t>Ma. Cristina | Peña | Nuñez-Reyes | O'Brien | De la Cruz</t>
        </is>
      </c>
      <c r="L54" s="4" t="inlineStr">
        <is>
          <t>Accepted, stored exactly as typed, and rendered correctly in the UI and in the OTP email greeting.</t>
        </is>
      </c>
      <c r="M54" s="4" t="inlineStr">
        <is>
          <t>REG-20, REG-08</t>
        </is>
      </c>
      <c r="N54" s="4" t="inlineStr">
        <is>
          <t>RegisterForm.tsx</t>
        </is>
      </c>
      <c r="O54" s="28" t="inlineStr"/>
      <c r="P54" s="29" t="n"/>
      <c r="Q54" s="30" t="inlineStr">
        <is>
          <t>Not Run</t>
        </is>
      </c>
      <c r="R54" s="30" t="n"/>
      <c r="S54" s="31" t="n"/>
      <c r="T54" s="29" t="n"/>
    </row>
    <row r="55" ht="49" customHeight="1">
      <c r="A55" s="27" t="inlineStr">
        <is>
          <t>TC-REG-008</t>
        </is>
      </c>
      <c r="B55" s="4" t="inlineStr">
        <is>
          <t>Registration</t>
        </is>
      </c>
      <c r="C55" s="4" t="inlineStr">
        <is>
          <t>Empty form shows every required-field error</t>
        </is>
      </c>
      <c r="D55" s="28" t="inlineStr">
        <is>
          <t>Negative</t>
        </is>
      </c>
      <c r="E55" s="28" t="inlineStr">
        <is>
          <t>High</t>
        </is>
      </c>
      <c r="F55" s="28" t="inlineStr">
        <is>
          <t>UI</t>
        </is>
      </c>
      <c r="G55" s="28" t="inlineStr">
        <is>
          <t>Manual UI</t>
        </is>
      </c>
      <c r="H55" s="28" t="inlineStr">
        <is>
          <t>Core</t>
        </is>
      </c>
      <c r="I55" s="4" t="inlineStr">
        <is>
          <t>Signed out; test inbox is reachable.</t>
        </is>
      </c>
      <c r="J55" s="4" t="inlineStr">
        <is>
          <t>1. Open /signup.
2. Click Sign up with everything blank.</t>
        </is>
      </c>
      <c r="K55" s="4" t="inlineStr">
        <is>
          <t>all blank</t>
        </is>
      </c>
      <c r="L55" s="4" t="inlineStr">
        <is>
          <t>Errors: First name is required; Last name is required; middle-name declaration message; valid email; password at least 8 characters; "You must agree to continue". No request is sent.</t>
        </is>
      </c>
      <c r="M55" s="4" t="inlineStr">
        <is>
          <t>REG-01, REG-02, REG-03, REG-04, REG-05, REG-07</t>
        </is>
      </c>
      <c r="N55" s="4" t="inlineStr">
        <is>
          <t>RegisterForm.tsx</t>
        </is>
      </c>
      <c r="O55" s="28" t="inlineStr"/>
      <c r="P55" s="29" t="n"/>
      <c r="Q55" s="30" t="inlineStr">
        <is>
          <t>Not Run</t>
        </is>
      </c>
      <c r="R55" s="30" t="n"/>
      <c r="S55" s="31" t="n"/>
      <c r="T55" s="29" t="n"/>
    </row>
    <row r="56" ht="49" customHeight="1">
      <c r="A56" s="27" t="inlineStr">
        <is>
          <t>TC-REG-009</t>
        </is>
      </c>
      <c r="B56" s="4" t="inlineStr">
        <is>
          <t>Registration</t>
        </is>
      </c>
      <c r="C56" s="4" t="inlineStr">
        <is>
          <t>Whitespace-only first and last name</t>
        </is>
      </c>
      <c r="D56" s="28" t="inlineStr">
        <is>
          <t>Negative</t>
        </is>
      </c>
      <c r="E56" s="28" t="inlineStr">
        <is>
          <t>High</t>
        </is>
      </c>
      <c r="F56" s="28" t="inlineStr">
        <is>
          <t>UI</t>
        </is>
      </c>
      <c r="G56" s="28" t="inlineStr">
        <is>
          <t>Manual UI</t>
        </is>
      </c>
      <c r="H56" s="28" t="inlineStr">
        <is>
          <t>Core</t>
        </is>
      </c>
      <c r="I56" s="4" t="inlineStr">
        <is>
          <t>Signed out; test inbox is reachable.</t>
        </is>
      </c>
      <c r="J56" s="4" t="inlineStr">
        <is>
          <t>1. Enter spaces only in first and last name.
2. Complete other fields and submit.</t>
        </is>
      </c>
      <c r="K56" s="4" t="inlineStr">
        <is>
          <t>first = "   ", last = "   "</t>
        </is>
      </c>
      <c r="L56" s="4" t="inlineStr">
        <is>
          <t>[Known issue F-04 - current code differs] Should be rejected as required. Currently passes (min(1) counts spaces); the app later redirects the user to onboarding because it trims names there.</t>
        </is>
      </c>
      <c r="M56" s="4" t="inlineStr">
        <is>
          <t>REG-01, REG-02</t>
        </is>
      </c>
      <c r="N56" s="4" t="inlineStr">
        <is>
          <t>RegisterForm.tsx:39-40</t>
        </is>
      </c>
      <c r="O56" s="28" t="inlineStr">
        <is>
          <t>F-04</t>
        </is>
      </c>
      <c r="P56" s="29" t="n"/>
      <c r="Q56" s="30" t="inlineStr">
        <is>
          <t>Not Run</t>
        </is>
      </c>
      <c r="R56" s="30" t="n"/>
      <c r="S56" s="31" t="n"/>
      <c r="T56" s="29" t="n"/>
    </row>
    <row r="57" ht="34" customHeight="1">
      <c r="A57" s="27" t="inlineStr">
        <is>
          <t>TC-REG-010</t>
        </is>
      </c>
      <c r="B57" s="4" t="inlineStr">
        <is>
          <t>Registration</t>
        </is>
      </c>
      <c r="C57" s="4" t="inlineStr">
        <is>
          <t>Single-character first and last names (lower boundary)</t>
        </is>
      </c>
      <c r="D57" s="28" t="inlineStr">
        <is>
          <t>Boundary</t>
        </is>
      </c>
      <c r="E57" s="28" t="inlineStr">
        <is>
          <t>Low</t>
        </is>
      </c>
      <c r="F57" s="28" t="inlineStr">
        <is>
          <t>UI</t>
        </is>
      </c>
      <c r="G57" s="28" t="inlineStr">
        <is>
          <t>Manual UI</t>
        </is>
      </c>
      <c r="H57" s="28" t="inlineStr">
        <is>
          <t>Extended</t>
        </is>
      </c>
      <c r="I57" s="4" t="inlineStr">
        <is>
          <t>Signed out; test inbox is reachable.</t>
        </is>
      </c>
      <c r="J57" s="4" t="inlineStr">
        <is>
          <t>1. Register with 1-char names.</t>
        </is>
      </c>
      <c r="K57" s="4" t="inlineStr">
        <is>
          <t>first = "J", last = "X"</t>
        </is>
      </c>
      <c r="L57" s="4" t="inlineStr">
        <is>
          <t>Accepted (minimum length is 1).</t>
        </is>
      </c>
      <c r="M57" s="4" t="inlineStr">
        <is>
          <t>REG-01, REG-02, REG-20</t>
        </is>
      </c>
      <c r="N57" s="4" t="inlineStr">
        <is>
          <t>RegisterForm.tsx</t>
        </is>
      </c>
      <c r="O57" s="28" t="inlineStr"/>
      <c r="P57" s="29" t="n"/>
      <c r="Q57" s="30" t="inlineStr">
        <is>
          <t>Not Run</t>
        </is>
      </c>
      <c r="R57" s="30" t="n"/>
      <c r="S57" s="31" t="n"/>
      <c r="T57" s="29" t="n"/>
    </row>
    <row r="58" ht="49" customHeight="1">
      <c r="A58" s="27" t="inlineStr">
        <is>
          <t>TC-REG-011</t>
        </is>
      </c>
      <c r="B58" s="4" t="inlineStr">
        <is>
          <t>Registration</t>
        </is>
      </c>
      <c r="C58" s="4" t="inlineStr">
        <is>
          <t>Very long names (upper boundary)</t>
        </is>
      </c>
      <c r="D58" s="28" t="inlineStr">
        <is>
          <t>Boundary</t>
        </is>
      </c>
      <c r="E58" s="28" t="inlineStr">
        <is>
          <t>Medium</t>
        </is>
      </c>
      <c r="F58" s="28" t="inlineStr">
        <is>
          <t>UI</t>
        </is>
      </c>
      <c r="G58" s="28" t="inlineStr">
        <is>
          <t>Manual UI</t>
        </is>
      </c>
      <c r="H58" s="28" t="inlineStr">
        <is>
          <t>Extended</t>
        </is>
      </c>
      <c r="I58" s="4" t="inlineStr">
        <is>
          <t>Signed out; test inbox is reachable.</t>
        </is>
      </c>
      <c r="J58" s="4" t="inlineStr">
        <is>
          <t>1. Enter a 256-char first name and a 256-char last name.
2. Submit.</t>
        </is>
      </c>
      <c r="K58" s="4" t="inlineStr">
        <is>
          <t>"A" × 256</t>
        </is>
      </c>
      <c r="L58" s="4" t="inlineStr">
        <is>
          <t>[Known issue F-04 - current code differs] Rejected with a clear message, or stored without truncation errors - never a 500 or silent data loss. Layout (sidebar, dashboard) does not break.</t>
        </is>
      </c>
      <c r="M58" s="4" t="inlineStr">
        <is>
          <t>REG-20</t>
        </is>
      </c>
      <c r="N58" s="4" t="inlineStr">
        <is>
          <t>RegisterForm.tsx</t>
        </is>
      </c>
      <c r="O58" s="28" t="inlineStr">
        <is>
          <t>F-04</t>
        </is>
      </c>
      <c r="P58" s="29" t="n"/>
      <c r="Q58" s="30" t="inlineStr">
        <is>
          <t>Not Run</t>
        </is>
      </c>
      <c r="R58" s="30" t="n"/>
      <c r="S58" s="31" t="n"/>
      <c r="T58" s="29" t="n"/>
    </row>
    <row r="59" ht="34" customHeight="1">
      <c r="A59" s="27" t="inlineStr">
        <is>
          <t>TC-REG-012</t>
        </is>
      </c>
      <c r="B59" s="4" t="inlineStr">
        <is>
          <t>Registration</t>
        </is>
      </c>
      <c r="C59" s="4" t="inlineStr">
        <is>
          <t>Middle name blank without declaring "no middle name"</t>
        </is>
      </c>
      <c r="D59" s="28" t="inlineStr">
        <is>
          <t>Negative</t>
        </is>
      </c>
      <c r="E59" s="28" t="inlineStr">
        <is>
          <t>High</t>
        </is>
      </c>
      <c r="F59" s="28" t="inlineStr">
        <is>
          <t>UI</t>
        </is>
      </c>
      <c r="G59" s="28" t="inlineStr">
        <is>
          <t>Manual UI</t>
        </is>
      </c>
      <c r="H59" s="28" t="inlineStr">
        <is>
          <t>Core</t>
        </is>
      </c>
      <c r="I59" s="4" t="inlineStr">
        <is>
          <t>Signed out; test inbox is reachable.</t>
        </is>
      </c>
      <c r="J59" s="4" t="inlineStr">
        <is>
          <t>1. Leave middle name empty, do not tick the box.
2. Submit.</t>
        </is>
      </c>
      <c r="K59" s="4" t="inlineStr">
        <is>
          <t>middle = ""</t>
        </is>
      </c>
      <c r="L59" s="4" t="inlineStr">
        <is>
          <t>Error on the middle-name field: Enter your middle name, or tick "I have no middle name".</t>
        </is>
      </c>
      <c r="M59" s="4" t="inlineStr">
        <is>
          <t>REG-03</t>
        </is>
      </c>
      <c r="N59" s="4" t="inlineStr">
        <is>
          <t>RegisterForm.tsx:55-58</t>
        </is>
      </c>
      <c r="O59" s="28" t="inlineStr"/>
      <c r="P59" s="29" t="n"/>
      <c r="Q59" s="30" t="inlineStr">
        <is>
          <t>Not Run</t>
        </is>
      </c>
      <c r="R59" s="30" t="n"/>
      <c r="S59" s="31" t="n"/>
      <c r="T59" s="29" t="n"/>
    </row>
    <row r="60" ht="34" customHeight="1">
      <c r="A60" s="27" t="inlineStr">
        <is>
          <t>TC-REG-013</t>
        </is>
      </c>
      <c r="B60" s="4" t="inlineStr">
        <is>
          <t>Registration</t>
        </is>
      </c>
      <c r="C60" s="4" t="inlineStr">
        <is>
          <t>Middle name of spaces only</t>
        </is>
      </c>
      <c r="D60" s="28" t="inlineStr">
        <is>
          <t>Edge</t>
        </is>
      </c>
      <c r="E60" s="28" t="inlineStr">
        <is>
          <t>Medium</t>
        </is>
      </c>
      <c r="F60" s="28" t="inlineStr">
        <is>
          <t>UI</t>
        </is>
      </c>
      <c r="G60" s="28" t="inlineStr">
        <is>
          <t>Manual UI</t>
        </is>
      </c>
      <c r="H60" s="28" t="inlineStr">
        <is>
          <t>Extended</t>
        </is>
      </c>
      <c r="I60" s="4" t="inlineStr">
        <is>
          <t>Signed out; test inbox is reachable.</t>
        </is>
      </c>
      <c r="J60" s="4" t="inlineStr">
        <is>
          <t>1. Enter three spaces as middle name.
2. Submit.</t>
        </is>
      </c>
      <c r="K60" s="4" t="inlineStr">
        <is>
          <t>middle = "   "</t>
        </is>
      </c>
      <c r="L60" s="4" t="inlineStr">
        <is>
          <t>Treated as blank (trimmed) and rejected with the same middle-name error.</t>
        </is>
      </c>
      <c r="M60" s="4" t="inlineStr">
        <is>
          <t>REG-03</t>
        </is>
      </c>
      <c r="N60" s="4" t="inlineStr">
        <is>
          <t>RegisterForm.tsx:55</t>
        </is>
      </c>
      <c r="O60" s="28" t="inlineStr"/>
      <c r="P60" s="29" t="n"/>
      <c r="Q60" s="30" t="inlineStr">
        <is>
          <t>Not Run</t>
        </is>
      </c>
      <c r="R60" s="30" t="n"/>
      <c r="S60" s="31" t="n"/>
      <c r="T60" s="29" t="n"/>
    </row>
    <row r="61" ht="49" customHeight="1">
      <c r="A61" s="27" t="inlineStr">
        <is>
          <t>TC-REG-014</t>
        </is>
      </c>
      <c r="B61" s="4" t="inlineStr">
        <is>
          <t>Registration</t>
        </is>
      </c>
      <c r="C61" s="4" t="inlineStr">
        <is>
          <t>Sign-up: malformed email addresses are rejected</t>
        </is>
      </c>
      <c r="D61" s="28" t="inlineStr">
        <is>
          <t>Negative</t>
        </is>
      </c>
      <c r="E61" s="28" t="inlineStr">
        <is>
          <t>High</t>
        </is>
      </c>
      <c r="F61" s="28" t="inlineStr">
        <is>
          <t>UI</t>
        </is>
      </c>
      <c r="G61" s="28" t="inlineStr">
        <is>
          <t>Manual UI</t>
        </is>
      </c>
      <c r="H61" s="28" t="inlineStr">
        <is>
          <t>Core</t>
        </is>
      </c>
      <c r="I61" s="4" t="inlineStr">
        <is>
          <t>Signed out; test inbox is reachable.</t>
        </is>
      </c>
      <c r="J61" s="4" t="inlineStr">
        <is>
          <t>1. Try each email with an otherwise valid form.</t>
        </is>
      </c>
      <c r="K61" s="4" t="inlineStr">
        <is>
          <t>plainaddress | user@ | @domain.com | user@domain | user@@domain.com | user name@domain.com</t>
        </is>
      </c>
      <c r="L61" s="4" t="inlineStr">
        <is>
          <t>"Please enter a valid email address" (or native browser bubble); no request sent.</t>
        </is>
      </c>
      <c r="M61" s="4" t="inlineStr">
        <is>
          <t>REG-04</t>
        </is>
      </c>
      <c r="N61" s="4" t="inlineStr">
        <is>
          <t>RegisterForm.tsx</t>
        </is>
      </c>
      <c r="O61" s="28" t="inlineStr"/>
      <c r="P61" s="29" t="n"/>
      <c r="Q61" s="30" t="inlineStr">
        <is>
          <t>Not Run</t>
        </is>
      </c>
      <c r="R61" s="30" t="n"/>
      <c r="S61" s="31" t="n"/>
      <c r="T61" s="29" t="n"/>
    </row>
    <row r="62" ht="34" customHeight="1">
      <c r="A62" s="27" t="inlineStr">
        <is>
          <t>TC-REG-015</t>
        </is>
      </c>
      <c r="B62" s="4" t="inlineStr">
        <is>
          <t>Registration</t>
        </is>
      </c>
      <c r="C62" s="4" t="inlineStr">
        <is>
          <t>Sign-up: password of 7 characters (lower boundary - 1)</t>
        </is>
      </c>
      <c r="D62" s="28" t="inlineStr">
        <is>
          <t>Boundary</t>
        </is>
      </c>
      <c r="E62" s="28" t="inlineStr">
        <is>
          <t>High</t>
        </is>
      </c>
      <c r="F62" s="28" t="inlineStr">
        <is>
          <t>UI</t>
        </is>
      </c>
      <c r="G62" s="28" t="inlineStr">
        <is>
          <t>Manual UI</t>
        </is>
      </c>
      <c r="H62" s="28" t="inlineStr">
        <is>
          <t>Core</t>
        </is>
      </c>
      <c r="I62" s="4" t="inlineStr">
        <is>
          <t>Signed out; test inbox is reachable.</t>
        </is>
      </c>
      <c r="J62" s="4" t="inlineStr">
        <is>
          <t>1. Enter a 7-char password containing a digit.
2. Submit.</t>
        </is>
      </c>
      <c r="K62" s="4" t="inlineStr">
        <is>
          <t>Passw0r</t>
        </is>
      </c>
      <c r="L62" s="4" t="inlineStr">
        <is>
          <t>Error "Password must be at least 8 characters".</t>
        </is>
      </c>
      <c r="M62" s="4" t="inlineStr">
        <is>
          <t>REG-05</t>
        </is>
      </c>
      <c r="N62" s="4" t="inlineStr">
        <is>
          <t>RegisterForm.tsx:46</t>
        </is>
      </c>
      <c r="O62" s="28" t="inlineStr"/>
      <c r="P62" s="29" t="n"/>
      <c r="Q62" s="30" t="inlineStr">
        <is>
          <t>Not Run</t>
        </is>
      </c>
      <c r="R62" s="30" t="n"/>
      <c r="S62" s="31" t="n"/>
      <c r="T62" s="29" t="n"/>
    </row>
    <row r="63" ht="34" customHeight="1">
      <c r="A63" s="27" t="inlineStr">
        <is>
          <t>TC-REG-016</t>
        </is>
      </c>
      <c r="B63" s="4" t="inlineStr">
        <is>
          <t>Registration</t>
        </is>
      </c>
      <c r="C63" s="4" t="inlineStr">
        <is>
          <t>Sign-up: password of exactly 8 characters with a digit (lower boundary)</t>
        </is>
      </c>
      <c r="D63" s="28" t="inlineStr">
        <is>
          <t>Boundary</t>
        </is>
      </c>
      <c r="E63" s="28" t="inlineStr">
        <is>
          <t>High</t>
        </is>
      </c>
      <c r="F63" s="28" t="inlineStr">
        <is>
          <t>UI</t>
        </is>
      </c>
      <c r="G63" s="28" t="inlineStr">
        <is>
          <t>Manual UI</t>
        </is>
      </c>
      <c r="H63" s="28" t="inlineStr">
        <is>
          <t>Core</t>
        </is>
      </c>
      <c r="I63" s="4" t="inlineStr">
        <is>
          <t>Signed out; test inbox is reachable.</t>
        </is>
      </c>
      <c r="J63" s="4" t="inlineStr">
        <is>
          <t>1. Enter an 8-char password with one digit.
2. Submit.</t>
        </is>
      </c>
      <c r="K63" s="4" t="inlineStr">
        <is>
          <t>Passw0rd</t>
        </is>
      </c>
      <c r="L63" s="4" t="inlineStr">
        <is>
          <t>Accepted; registration proceeds.</t>
        </is>
      </c>
      <c r="M63" s="4" t="inlineStr">
        <is>
          <t>REG-05, REG-06, REG-08</t>
        </is>
      </c>
      <c r="N63" s="4" t="inlineStr">
        <is>
          <t>RegisterForm.tsx</t>
        </is>
      </c>
      <c r="O63" s="28" t="inlineStr"/>
      <c r="P63" s="29" t="n"/>
      <c r="Q63" s="30" t="inlineStr">
        <is>
          <t>Not Run</t>
        </is>
      </c>
      <c r="R63" s="30" t="n"/>
      <c r="S63" s="31" t="n"/>
      <c r="T63" s="29" t="n"/>
    </row>
    <row r="64" ht="34" customHeight="1">
      <c r="A64" s="27" t="inlineStr">
        <is>
          <t>TC-REG-017</t>
        </is>
      </c>
      <c r="B64" s="4" t="inlineStr">
        <is>
          <t>Registration</t>
        </is>
      </c>
      <c r="C64" s="4" t="inlineStr">
        <is>
          <t>8 letters with no digit</t>
        </is>
      </c>
      <c r="D64" s="28" t="inlineStr">
        <is>
          <t>Negative</t>
        </is>
      </c>
      <c r="E64" s="28" t="inlineStr">
        <is>
          <t>High</t>
        </is>
      </c>
      <c r="F64" s="28" t="inlineStr">
        <is>
          <t>UI</t>
        </is>
      </c>
      <c r="G64" s="28" t="inlineStr">
        <is>
          <t>Manual UI</t>
        </is>
      </c>
      <c r="H64" s="28" t="inlineStr">
        <is>
          <t>Core</t>
        </is>
      </c>
      <c r="I64" s="4" t="inlineStr">
        <is>
          <t>Signed out; test inbox is reachable.</t>
        </is>
      </c>
      <c r="J64" s="4" t="inlineStr">
        <is>
          <t>1. Enter an 8-char letters-only password.
2. Submit.</t>
        </is>
      </c>
      <c r="K64" s="4" t="inlineStr">
        <is>
          <t>Password</t>
        </is>
      </c>
      <c r="L64" s="4" t="inlineStr">
        <is>
          <t>Error "Password must include at least one number".</t>
        </is>
      </c>
      <c r="M64" s="4" t="inlineStr">
        <is>
          <t>REG-06</t>
        </is>
      </c>
      <c r="N64" s="4" t="inlineStr">
        <is>
          <t>RegisterForm.tsx:47</t>
        </is>
      </c>
      <c r="O64" s="28" t="inlineStr"/>
      <c r="P64" s="29" t="n"/>
      <c r="Q64" s="30" t="inlineStr">
        <is>
          <t>Not Run</t>
        </is>
      </c>
      <c r="R64" s="30" t="n"/>
      <c r="S64" s="31" t="n"/>
      <c r="T64" s="29" t="n"/>
    </row>
    <row r="65" ht="34" customHeight="1">
      <c r="A65" s="27" t="inlineStr">
        <is>
          <t>TC-REG-018</t>
        </is>
      </c>
      <c r="B65" s="4" t="inlineStr">
        <is>
          <t>Registration</t>
        </is>
      </c>
      <c r="C65" s="4" t="inlineStr">
        <is>
          <t>8 digits only</t>
        </is>
      </c>
      <c r="D65" s="28" t="inlineStr">
        <is>
          <t>Edge</t>
        </is>
      </c>
      <c r="E65" s="28" t="inlineStr">
        <is>
          <t>Low</t>
        </is>
      </c>
      <c r="F65" s="28" t="inlineStr">
        <is>
          <t>UI</t>
        </is>
      </c>
      <c r="G65" s="28" t="inlineStr">
        <is>
          <t>Manual UI</t>
        </is>
      </c>
      <c r="H65" s="28" t="inlineStr">
        <is>
          <t>Extended</t>
        </is>
      </c>
      <c r="I65" s="4" t="inlineStr">
        <is>
          <t>Signed out; test inbox is reachable.</t>
        </is>
      </c>
      <c r="J65" s="4" t="inlineStr">
        <is>
          <t>1. Enter an all-digit password.
2. Submit.</t>
        </is>
      </c>
      <c r="K65" s="4" t="inlineStr">
        <is>
          <t>12345678</t>
        </is>
      </c>
      <c r="L65" s="4" t="inlineStr">
        <is>
          <t>Accepted - rule only requires length ≥ 8 and one digit (no letter rule). Record as policy observation.</t>
        </is>
      </c>
      <c r="M65" s="4" t="inlineStr">
        <is>
          <t>REG-05, REG-06</t>
        </is>
      </c>
      <c r="N65" s="4" t="inlineStr">
        <is>
          <t>RegisterForm.tsx</t>
        </is>
      </c>
      <c r="O65" s="28" t="inlineStr"/>
      <c r="P65" s="29" t="n"/>
      <c r="Q65" s="30" t="inlineStr">
        <is>
          <t>Not Run</t>
        </is>
      </c>
      <c r="R65" s="30" t="n"/>
      <c r="S65" s="31" t="n"/>
      <c r="T65" s="29" t="n"/>
    </row>
    <row r="66" ht="34" customHeight="1">
      <c r="A66" s="27" t="inlineStr">
        <is>
          <t>TC-REG-019</t>
        </is>
      </c>
      <c r="B66" s="4" t="inlineStr">
        <is>
          <t>Registration</t>
        </is>
      </c>
      <c r="C66" s="4" t="inlineStr">
        <is>
          <t>7 digits only</t>
        </is>
      </c>
      <c r="D66" s="28" t="inlineStr">
        <is>
          <t>Boundary</t>
        </is>
      </c>
      <c r="E66" s="28" t="inlineStr">
        <is>
          <t>Low</t>
        </is>
      </c>
      <c r="F66" s="28" t="inlineStr">
        <is>
          <t>UI</t>
        </is>
      </c>
      <c r="G66" s="28" t="inlineStr">
        <is>
          <t>Manual UI</t>
        </is>
      </c>
      <c r="H66" s="28" t="inlineStr">
        <is>
          <t>Extended</t>
        </is>
      </c>
      <c r="I66" s="4" t="inlineStr">
        <is>
          <t>Signed out; test inbox is reachable.</t>
        </is>
      </c>
      <c r="J66" s="4" t="inlineStr">
        <is>
          <t>1. Enter a 7-digit password.</t>
        </is>
      </c>
      <c r="K66" s="4" t="inlineStr">
        <is>
          <t>1234567</t>
        </is>
      </c>
      <c r="L66" s="4" t="inlineStr">
        <is>
          <t>Rejected on length (digit rule is satisfied, length rule fails).</t>
        </is>
      </c>
      <c r="M66" s="4" t="inlineStr">
        <is>
          <t>REG-05</t>
        </is>
      </c>
      <c r="N66" s="4" t="inlineStr">
        <is>
          <t>RegisterForm.tsx</t>
        </is>
      </c>
      <c r="O66" s="28" t="inlineStr"/>
      <c r="P66" s="29" t="n"/>
      <c r="Q66" s="30" t="inlineStr">
        <is>
          <t>Not Run</t>
        </is>
      </c>
      <c r="R66" s="30" t="n"/>
      <c r="S66" s="31" t="n"/>
      <c r="T66" s="29" t="n"/>
    </row>
    <row r="67" ht="34" customHeight="1">
      <c r="A67" s="27" t="inlineStr">
        <is>
          <t>TC-REG-020</t>
        </is>
      </c>
      <c r="B67" s="4" t="inlineStr">
        <is>
          <t>Registration</t>
        </is>
      </c>
      <c r="C67" s="4" t="inlineStr">
        <is>
          <t>Password of 8 spaces</t>
        </is>
      </c>
      <c r="D67" s="28" t="inlineStr">
        <is>
          <t>Edge</t>
        </is>
      </c>
      <c r="E67" s="28" t="inlineStr">
        <is>
          <t>Low</t>
        </is>
      </c>
      <c r="F67" s="28" t="inlineStr">
        <is>
          <t>UI</t>
        </is>
      </c>
      <c r="G67" s="28" t="inlineStr">
        <is>
          <t>Manual UI</t>
        </is>
      </c>
      <c r="H67" s="28" t="inlineStr">
        <is>
          <t>Extended</t>
        </is>
      </c>
      <c r="I67" s="4" t="inlineStr">
        <is>
          <t>Signed out; test inbox is reachable.</t>
        </is>
      </c>
      <c r="J67" s="4" t="inlineStr">
        <is>
          <t>1. Enter eight spaces as password.</t>
        </is>
      </c>
      <c r="K67" s="4" t="inlineStr">
        <is>
          <t>"        "</t>
        </is>
      </c>
      <c r="L67" s="4" t="inlineStr">
        <is>
          <t>Rejected: no digit present.</t>
        </is>
      </c>
      <c r="M67" s="4" t="inlineStr">
        <is>
          <t>REG-06</t>
        </is>
      </c>
      <c r="N67" s="4" t="inlineStr">
        <is>
          <t>RegisterForm.tsx</t>
        </is>
      </c>
      <c r="O67" s="28" t="inlineStr"/>
      <c r="P67" s="29" t="n"/>
      <c r="Q67" s="30" t="inlineStr">
        <is>
          <t>Not Run</t>
        </is>
      </c>
      <c r="R67" s="30" t="n"/>
      <c r="S67" s="31" t="n"/>
      <c r="T67" s="29" t="n"/>
    </row>
    <row r="68" ht="64" customHeight="1">
      <c r="A68" s="27" t="inlineStr">
        <is>
          <t>TC-REG-021</t>
        </is>
      </c>
      <c r="B68" s="4" t="inlineStr">
        <is>
          <t>Registration</t>
        </is>
      </c>
      <c r="C68" s="4" t="inlineStr">
        <is>
          <t>Leading/trailing spaces in password are preserved</t>
        </is>
      </c>
      <c r="D68" s="28" t="inlineStr">
        <is>
          <t>Edge</t>
        </is>
      </c>
      <c r="E68" s="28" t="inlineStr">
        <is>
          <t>Medium</t>
        </is>
      </c>
      <c r="F68" s="28" t="inlineStr">
        <is>
          <t>UI</t>
        </is>
      </c>
      <c r="G68" s="28" t="inlineStr">
        <is>
          <t>Manual UI</t>
        </is>
      </c>
      <c r="H68" s="28" t="inlineStr">
        <is>
          <t>Extended</t>
        </is>
      </c>
      <c r="I68" s="4" t="inlineStr">
        <is>
          <t>Signed out; test inbox is reachable.</t>
        </is>
      </c>
      <c r="J68" s="4" t="inlineStr">
        <is>
          <t>1. Register with a password that has a leading and trailing space.
2. Confirm the email.
3. Sign in with and without the spaces.</t>
        </is>
      </c>
      <c r="K68" s="4" t="inlineStr">
        <is>
          <t>" Passw0rd "</t>
        </is>
      </c>
      <c r="L68" s="4" t="inlineStr">
        <is>
          <t>Password is stored exactly as typed: sign-in works only with the surrounding spaces.</t>
        </is>
      </c>
      <c r="M68" s="4" t="inlineStr">
        <is>
          <t>REG-05, LGN-03</t>
        </is>
      </c>
      <c r="N68" s="4" t="inlineStr">
        <is>
          <t>RegisterForm.tsx</t>
        </is>
      </c>
      <c r="O68" s="28" t="inlineStr"/>
      <c r="P68" s="29" t="n"/>
      <c r="Q68" s="30" t="inlineStr">
        <is>
          <t>Not Run</t>
        </is>
      </c>
      <c r="R68" s="30" t="n"/>
      <c r="S68" s="31" t="n"/>
      <c r="T68" s="29" t="n"/>
    </row>
    <row r="69" ht="49" customHeight="1">
      <c r="A69" s="27" t="inlineStr">
        <is>
          <t>TC-REG-022</t>
        </is>
      </c>
      <c r="B69" s="4" t="inlineStr">
        <is>
          <t>Registration</t>
        </is>
      </c>
      <c r="C69" s="4" t="inlineStr">
        <is>
          <t>Password at the 72-character bcrypt limit</t>
        </is>
      </c>
      <c r="D69" s="28" t="inlineStr">
        <is>
          <t>Boundary</t>
        </is>
      </c>
      <c r="E69" s="28" t="inlineStr">
        <is>
          <t>Medium</t>
        </is>
      </c>
      <c r="F69" s="28" t="inlineStr">
        <is>
          <t>UI</t>
        </is>
      </c>
      <c r="G69" s="28" t="inlineStr">
        <is>
          <t>Manual UI</t>
        </is>
      </c>
      <c r="H69" s="28" t="inlineStr">
        <is>
          <t>Extended</t>
        </is>
      </c>
      <c r="I69" s="4" t="inlineStr">
        <is>
          <t>Signed out; test inbox is reachable.</t>
        </is>
      </c>
      <c r="J69" s="4" t="inlineStr">
        <is>
          <t>1. Register with a 72-char password containing a digit.
2. Confirm and sign in with the same value.</t>
        </is>
      </c>
      <c r="K69" s="4" t="inlineStr">
        <is>
          <t>"a"×71 + "1"</t>
        </is>
      </c>
      <c r="L69" s="4" t="inlineStr">
        <is>
          <t>[Possible issue F-15 - needs a runtime check] Accepted; sign-in with the identical value works.</t>
        </is>
      </c>
      <c r="M69" s="4" t="inlineStr">
        <is>
          <t>REG-05, REG-20</t>
        </is>
      </c>
      <c r="N69" s="4" t="inlineStr">
        <is>
          <t>auth.mutations.ts › signupFn</t>
        </is>
      </c>
      <c r="O69" s="28" t="inlineStr">
        <is>
          <t>F-15</t>
        </is>
      </c>
      <c r="P69" s="29" t="n"/>
      <c r="Q69" s="30" t="inlineStr">
        <is>
          <t>Not Run</t>
        </is>
      </c>
      <c r="R69" s="30" t="n"/>
      <c r="S69" s="31" t="n"/>
      <c r="T69" s="29" t="n"/>
    </row>
    <row r="70" ht="64" customHeight="1">
      <c r="A70" s="27" t="inlineStr">
        <is>
          <t>TC-REG-023</t>
        </is>
      </c>
      <c r="B70" s="4" t="inlineStr">
        <is>
          <t>Registration</t>
        </is>
      </c>
      <c r="C70" s="4" t="inlineStr">
        <is>
          <t>Password of 73+ characters</t>
        </is>
      </c>
      <c r="D70" s="28" t="inlineStr">
        <is>
          <t>Boundary</t>
        </is>
      </c>
      <c r="E70" s="28" t="inlineStr">
        <is>
          <t>Medium</t>
        </is>
      </c>
      <c r="F70" s="28" t="inlineStr">
        <is>
          <t>UI</t>
        </is>
      </c>
      <c r="G70" s="28" t="inlineStr">
        <is>
          <t>Manual UI</t>
        </is>
      </c>
      <c r="H70" s="28" t="inlineStr">
        <is>
          <t>Extended</t>
        </is>
      </c>
      <c r="I70" s="4" t="inlineStr">
        <is>
          <t>Signed out; test inbox is reachable.</t>
        </is>
      </c>
      <c r="J70" s="4" t="inlineStr">
        <is>
          <t>1. Register with a 73-char then a 200-char password.</t>
        </is>
      </c>
      <c r="K70" s="4" t="inlineStr">
        <is>
          <t>"a"×72 + "1"; "a"×199 + "1"</t>
        </is>
      </c>
      <c r="L70" s="4" t="inlineStr">
        <is>
          <t>[Possible issue F-15 - needs a runtime check] Either rejected with a clear message or handled safely; must not be silently truncated (sign-in with the full string must work if accepted) and must not return a 500.</t>
        </is>
      </c>
      <c r="M70" s="4" t="inlineStr">
        <is>
          <t>REG-05</t>
        </is>
      </c>
      <c r="N70" s="4" t="inlineStr">
        <is>
          <t>auth.mutations.ts › signupFn</t>
        </is>
      </c>
      <c r="O70" s="28" t="inlineStr">
        <is>
          <t>F-15</t>
        </is>
      </c>
      <c r="P70" s="29" t="n"/>
      <c r="Q70" s="30" t="inlineStr">
        <is>
          <t>Not Run</t>
        </is>
      </c>
      <c r="R70" s="30" t="n"/>
      <c r="S70" s="31" t="n"/>
      <c r="T70" s="29" t="n"/>
    </row>
    <row r="71" ht="34" customHeight="1">
      <c r="A71" s="27" t="inlineStr">
        <is>
          <t>TC-REG-024</t>
        </is>
      </c>
      <c r="B71" s="4" t="inlineStr">
        <is>
          <t>Registration</t>
        </is>
      </c>
      <c r="C71" s="4" t="inlineStr">
        <is>
          <t>Unicode and emoji password</t>
        </is>
      </c>
      <c r="D71" s="28" t="inlineStr">
        <is>
          <t>Edge</t>
        </is>
      </c>
      <c r="E71" s="28" t="inlineStr">
        <is>
          <t>Low</t>
        </is>
      </c>
      <c r="F71" s="28" t="inlineStr">
        <is>
          <t>UI</t>
        </is>
      </c>
      <c r="G71" s="28" t="inlineStr">
        <is>
          <t>Manual UI</t>
        </is>
      </c>
      <c r="H71" s="28" t="inlineStr">
        <is>
          <t>Extended</t>
        </is>
      </c>
      <c r="I71" s="4" t="inlineStr">
        <is>
          <t>Signed out; test inbox is reachable.</t>
        </is>
      </c>
      <c r="J71" s="4" t="inlineStr">
        <is>
          <t>1. Register with the password; confirm; sign in.</t>
        </is>
      </c>
      <c r="K71" s="4" t="inlineStr">
        <is>
          <t>Pässw0rd🔒</t>
        </is>
      </c>
      <c r="L71" s="4" t="inlineStr">
        <is>
          <t>Accepted and usable for sign-in.</t>
        </is>
      </c>
      <c r="M71" s="4" t="inlineStr">
        <is>
          <t>REG-05, REG-06</t>
        </is>
      </c>
      <c r="N71" s="4" t="inlineStr">
        <is>
          <t>RegisterForm.tsx</t>
        </is>
      </c>
      <c r="O71" s="28" t="inlineStr"/>
      <c r="P71" s="29" t="n"/>
      <c r="Q71" s="30" t="inlineStr">
        <is>
          <t>Not Run</t>
        </is>
      </c>
      <c r="R71" s="30" t="n"/>
      <c r="S71" s="31" t="n"/>
      <c r="T71" s="29" t="n"/>
    </row>
    <row r="72" ht="34" customHeight="1">
      <c r="A72" s="27" t="inlineStr">
        <is>
          <t>TC-REG-025</t>
        </is>
      </c>
      <c r="B72" s="4" t="inlineStr">
        <is>
          <t>Registration</t>
        </is>
      </c>
      <c r="C72" s="4" t="inlineStr">
        <is>
          <t>Terms checkbox not ticked</t>
        </is>
      </c>
      <c r="D72" s="28" t="inlineStr">
        <is>
          <t>Negative</t>
        </is>
      </c>
      <c r="E72" s="28" t="inlineStr">
        <is>
          <t>High</t>
        </is>
      </c>
      <c r="F72" s="28" t="inlineStr">
        <is>
          <t>UI</t>
        </is>
      </c>
      <c r="G72" s="28" t="inlineStr">
        <is>
          <t>Manual UI</t>
        </is>
      </c>
      <c r="H72" s="28" t="inlineStr">
        <is>
          <t>Core</t>
        </is>
      </c>
      <c r="I72" s="4" t="inlineStr">
        <is>
          <t>Signed out; test inbox is reachable.</t>
        </is>
      </c>
      <c r="J72" s="4" t="inlineStr">
        <is>
          <t>1. Complete all fields but leave Terms unticked.
2. Submit.</t>
        </is>
      </c>
      <c r="K72" s="4" t="inlineStr">
        <is>
          <t>agreeToTerms = false</t>
        </is>
      </c>
      <c r="L72" s="4" t="inlineStr">
        <is>
          <t>Error "You must agree to continue"; no request sent.</t>
        </is>
      </c>
      <c r="M72" s="4" t="inlineStr">
        <is>
          <t>REG-07</t>
        </is>
      </c>
      <c r="N72" s="4" t="inlineStr">
        <is>
          <t>RegisterForm.tsx:48-50</t>
        </is>
      </c>
      <c r="O72" s="28" t="inlineStr"/>
      <c r="P72" s="29" t="n"/>
      <c r="Q72" s="30" t="inlineStr">
        <is>
          <t>Not Run</t>
        </is>
      </c>
      <c r="R72" s="30" t="n"/>
      <c r="S72" s="31" t="n"/>
      <c r="T72" s="29" t="n"/>
    </row>
    <row r="73" ht="49" customHeight="1">
      <c r="A73" s="27" t="inlineStr">
        <is>
          <t>TC-REG-026</t>
        </is>
      </c>
      <c r="B73" s="4" t="inlineStr">
        <is>
          <t>Registration</t>
        </is>
      </c>
      <c r="C73" s="4" t="inlineStr">
        <is>
          <t>Terms of Use and Privacy Notice links open real documents</t>
        </is>
      </c>
      <c r="D73" s="28" t="inlineStr">
        <is>
          <t>Negative</t>
        </is>
      </c>
      <c r="E73" s="28" t="inlineStr">
        <is>
          <t>Medium</t>
        </is>
      </c>
      <c r="F73" s="28" t="inlineStr">
        <is>
          <t>UI</t>
        </is>
      </c>
      <c r="G73" s="28" t="inlineStr">
        <is>
          <t>Manual UI</t>
        </is>
      </c>
      <c r="H73" s="28" t="inlineStr">
        <is>
          <t>Extended</t>
        </is>
      </c>
      <c r="I73" s="4" t="inlineStr">
        <is>
          <t>Signed out; test inbox is reachable.</t>
        </is>
      </c>
      <c r="J73" s="4" t="inlineStr">
        <is>
          <t>1. Click each link beside the Terms checkbox.</t>
        </is>
      </c>
      <c r="K73" s="4" t="inlineStr">
        <is>
          <t>—</t>
        </is>
      </c>
      <c r="L73" s="4" t="inlineStr">
        <is>
          <t>[Known issue F-19 - current code differs] Each opens the relevant document. Currently both link to "/" (the landing page), so consent is collected without the documents.</t>
        </is>
      </c>
      <c r="M73" s="4" t="inlineStr">
        <is>
          <t>REG-22</t>
        </is>
      </c>
      <c r="N73" s="4" t="inlineStr">
        <is>
          <t>RegisterForm.tsx:360-368</t>
        </is>
      </c>
      <c r="O73" s="28" t="inlineStr">
        <is>
          <t>F-19</t>
        </is>
      </c>
      <c r="P73" s="29" t="n"/>
      <c r="Q73" s="30" t="inlineStr">
        <is>
          <t>Not Run</t>
        </is>
      </c>
      <c r="R73" s="30" t="n"/>
      <c r="S73" s="31" t="n"/>
      <c r="T73" s="29" t="n"/>
    </row>
    <row r="74" ht="64" customHeight="1">
      <c r="A74" s="27" t="inlineStr">
        <is>
          <t>TC-REG-027</t>
        </is>
      </c>
      <c r="B74" s="4" t="inlineStr">
        <is>
          <t>Registration</t>
        </is>
      </c>
      <c r="C74" s="4" t="inlineStr">
        <is>
          <t>Duplicate of a confirmed account</t>
        </is>
      </c>
      <c r="D74" s="28" t="inlineStr">
        <is>
          <t>Negative</t>
        </is>
      </c>
      <c r="E74" s="28" t="inlineStr">
        <is>
          <t>High</t>
        </is>
      </c>
      <c r="F74" s="28" t="inlineStr">
        <is>
          <t>UI</t>
        </is>
      </c>
      <c r="G74" s="28" t="inlineStr">
        <is>
          <t>Manual UI</t>
        </is>
      </c>
      <c r="H74" s="28" t="inlineStr">
        <is>
          <t>Smoke</t>
        </is>
      </c>
      <c r="I74" s="4" t="inlineStr">
        <is>
          <t>Signed out; test inbox is reachable. [ACC-01] exists.</t>
        </is>
      </c>
      <c r="J74" s="4" t="inlineStr">
        <is>
          <t>1. Register using the email of a confirmed account.</t>
        </is>
      </c>
      <c r="K74" s="4" t="inlineStr">
        <is>
          <t>[ACC-01] email, new password</t>
        </is>
      </c>
      <c r="L74" s="4" t="inlineStr">
        <is>
          <t>[Known issue F-05 - current code differs] Alert "Account not created" with the duplicate message; existing user, password and profile are untouched; no OTP email is sent. (Message reveals the email is registered.)</t>
        </is>
      </c>
      <c r="M74" s="4" t="inlineStr">
        <is>
          <t>REG-10</t>
        </is>
      </c>
      <c r="N74" s="4" t="inlineStr">
        <is>
          <t>auth.mutations.ts › signupFn:189-235</t>
        </is>
      </c>
      <c r="O74" s="28" t="inlineStr">
        <is>
          <t>F-05</t>
        </is>
      </c>
      <c r="P74" s="29" t="n"/>
      <c r="Q74" s="30" t="inlineStr">
        <is>
          <t>Not Run</t>
        </is>
      </c>
      <c r="R74" s="30" t="n"/>
      <c r="S74" s="31" t="n"/>
      <c r="T74" s="29" t="n"/>
    </row>
    <row r="75" ht="34" customHeight="1">
      <c r="A75" s="27" t="inlineStr">
        <is>
          <t>TC-REG-028</t>
        </is>
      </c>
      <c r="B75" s="4" t="inlineStr">
        <is>
          <t>Registration</t>
        </is>
      </c>
      <c r="C75" s="4" t="inlineStr">
        <is>
          <t>Duplicate email differing only by case</t>
        </is>
      </c>
      <c r="D75" s="28" t="inlineStr">
        <is>
          <t>Edge</t>
        </is>
      </c>
      <c r="E75" s="28" t="inlineStr">
        <is>
          <t>Medium</t>
        </is>
      </c>
      <c r="F75" s="28" t="inlineStr">
        <is>
          <t>UI</t>
        </is>
      </c>
      <c r="G75" s="28" t="inlineStr">
        <is>
          <t>Manual UI</t>
        </is>
      </c>
      <c r="H75" s="28" t="inlineStr">
        <is>
          <t>Extended</t>
        </is>
      </c>
      <c r="I75" s="4" t="inlineStr">
        <is>
          <t>Signed out; test inbox is reachable. [ACC-01] exists.</t>
        </is>
      </c>
      <c r="J75" s="4" t="inlineStr">
        <is>
          <t>1. Register with the upper-case form of an existing email.</t>
        </is>
      </c>
      <c r="K75" s="4" t="inlineStr">
        <is>
          <t>APPLICANT.OK@&lt;domain&gt;</t>
        </is>
      </c>
      <c r="L75" s="4" t="inlineStr">
        <is>
          <t>Treated as the same account (duplicate message); no second auth user is created.</t>
        </is>
      </c>
      <c r="M75" s="4" t="inlineStr">
        <is>
          <t>REG-10</t>
        </is>
      </c>
      <c r="N75" s="4" t="inlineStr">
        <is>
          <t>auth.mutations.ts › signupFn</t>
        </is>
      </c>
      <c r="O75" s="28" t="inlineStr"/>
      <c r="P75" s="29" t="n"/>
      <c r="Q75" s="30" t="inlineStr">
        <is>
          <t>Not Run</t>
        </is>
      </c>
      <c r="R75" s="30" t="n"/>
      <c r="S75" s="31" t="n"/>
      <c r="T75" s="29" t="n"/>
    </row>
    <row r="76" ht="64" customHeight="1">
      <c r="A76" s="27" t="inlineStr">
        <is>
          <t>TC-REG-029</t>
        </is>
      </c>
      <c r="B76" s="4" t="inlineStr">
        <is>
          <t>Registration</t>
        </is>
      </c>
      <c r="C76" s="4" t="inlineStr">
        <is>
          <t>Re-registering an unconfirmed email replaces the pending account</t>
        </is>
      </c>
      <c r="D76" s="28" t="inlineStr">
        <is>
          <t>Edge</t>
        </is>
      </c>
      <c r="E76" s="28" t="inlineStr">
        <is>
          <t>High</t>
        </is>
      </c>
      <c r="F76" s="28" t="inlineStr">
        <is>
          <t>UI</t>
        </is>
      </c>
      <c r="G76" s="28" t="inlineStr">
        <is>
          <t>Manual UI</t>
        </is>
      </c>
      <c r="H76" s="28" t="inlineStr">
        <is>
          <t>Core</t>
        </is>
      </c>
      <c r="I76" s="4" t="inlineStr">
        <is>
          <t>Signed out; test inbox is reachable.</t>
        </is>
      </c>
      <c r="J76" s="4" t="inlineStr">
        <is>
          <t>1. Register an email but do not confirm.
2. Register the same email again with a different password.
3. Confirm with the NEW code.</t>
        </is>
      </c>
      <c r="K76" s="4" t="inlineStr">
        <is>
          <t>pwd A then pwd B</t>
        </is>
      </c>
      <c r="L76" s="4" t="inlineStr">
        <is>
          <t>[Known issue F-07 - current code differs] Old unconfirmed user is deleted and recreated; a new OTP is sent; only the new code works; after confirming, only password B signs in.</t>
        </is>
      </c>
      <c r="M76" s="4" t="inlineStr">
        <is>
          <t>REG-11, OTP-06</t>
        </is>
      </c>
      <c r="N76" s="4" t="inlineStr">
        <is>
          <t>auth.mutations.ts › signupFn:203-221</t>
        </is>
      </c>
      <c r="O76" s="28" t="inlineStr">
        <is>
          <t>F-07</t>
        </is>
      </c>
      <c r="P76" s="29" t="n"/>
      <c r="Q76" s="30" t="inlineStr">
        <is>
          <t>Not Run</t>
        </is>
      </c>
      <c r="R76" s="30" t="n"/>
      <c r="S76" s="31" t="n"/>
      <c r="T76" s="29" t="n"/>
    </row>
    <row r="77" ht="79" customHeight="1">
      <c r="A77" s="27" t="inlineStr">
        <is>
          <t>TC-REG-030</t>
        </is>
      </c>
      <c r="B77" s="4" t="inlineStr">
        <is>
          <t>Registration</t>
        </is>
      </c>
      <c r="C77" s="4" t="inlineStr">
        <is>
          <t>Pending-signup squatting by a third party</t>
        </is>
      </c>
      <c r="D77" s="28" t="inlineStr">
        <is>
          <t>Security</t>
        </is>
      </c>
      <c r="E77" s="28" t="inlineStr">
        <is>
          <t>Medium</t>
        </is>
      </c>
      <c r="F77" s="28" t="inlineStr">
        <is>
          <t>UI</t>
        </is>
      </c>
      <c r="G77" s="28" t="inlineStr">
        <is>
          <t>Exploratory</t>
        </is>
      </c>
      <c r="H77" s="28" t="inlineStr">
        <is>
          <t>Extended</t>
        </is>
      </c>
      <c r="I77" s="4" t="inlineStr">
        <is>
          <t>Signed out; test inbox is reachable.</t>
        </is>
      </c>
      <c r="J77" s="4" t="inlineStr">
        <is>
          <t>1. Victim registers and has not confirmed.
2. Attacker registers the victim's email with another password.
3. Victim tries their original code.</t>
        </is>
      </c>
      <c r="K77" s="4" t="inlineStr">
        <is>
          <t>victim email</t>
        </is>
      </c>
      <c r="L77" s="4" t="inlineStr">
        <is>
          <t>[Known issue F-07 - current code differs] Pass criteria: the attacker cannot confirm or take over the account, and the victim's original code is rejected as an old code. Observation to record (not a failure): anyone can reset a pending registration, and the victim receives an unsolicited OTP email.</t>
        </is>
      </c>
      <c r="M77" s="4" t="inlineStr">
        <is>
          <t>REG-11</t>
        </is>
      </c>
      <c r="N77" s="4" t="inlineStr">
        <is>
          <t>auth.mutations.ts › signupFn:207-221</t>
        </is>
      </c>
      <c r="O77" s="28" t="inlineStr">
        <is>
          <t>F-07</t>
        </is>
      </c>
      <c r="P77" s="29" t="n"/>
      <c r="Q77" s="30" t="inlineStr">
        <is>
          <t>Not Run</t>
        </is>
      </c>
      <c r="R77" s="30" t="n"/>
      <c r="S77" s="31" t="n"/>
      <c r="T77" s="29" t="n"/>
    </row>
    <row r="78" ht="49" customHeight="1">
      <c r="A78" s="27" t="inlineStr">
        <is>
          <t>TC-REG-031</t>
        </is>
      </c>
      <c r="B78" s="4" t="inlineStr">
        <is>
          <t>Registration</t>
        </is>
      </c>
      <c r="C78" s="4" t="inlineStr">
        <is>
          <t>Unconfirmed-user lookup beyond 1,000 users</t>
        </is>
      </c>
      <c r="D78" s="28" t="inlineStr">
        <is>
          <t>Boundary</t>
        </is>
      </c>
      <c r="E78" s="28" t="inlineStr">
        <is>
          <t>Medium</t>
        </is>
      </c>
      <c r="F78" s="28" t="inlineStr">
        <is>
          <t>DB</t>
        </is>
      </c>
      <c r="G78" s="28" t="inlineStr">
        <is>
          <t>Manual + DB</t>
        </is>
      </c>
      <c r="H78" s="28" t="inlineStr">
        <is>
          <t>Extended</t>
        </is>
      </c>
      <c r="I78" s="4" t="inlineStr">
        <is>
          <t>Test project seeded with more than 1,000 users.</t>
        </is>
      </c>
      <c r="J78" s="4" t="inlineStr">
        <is>
          <t>1. Seed &gt;1,000 auth users with the target unconfirmed user beyond the first page.
2. Register the unconfirmed email again.</t>
        </is>
      </c>
      <c r="K78" s="4" t="inlineStr">
        <is>
          <t>1,001+ users</t>
        </is>
      </c>
      <c r="L78" s="4" t="inlineStr">
        <is>
          <t>[Known issue F-06 - current code differs] Registration retry succeeds for the unconfirmed user. Currently listUsers(perPage 1000) misses them, so the user stays blocked with "already registered".</t>
        </is>
      </c>
      <c r="M78" s="4" t="inlineStr">
        <is>
          <t>REG-17, OTP-18</t>
        </is>
      </c>
      <c r="N78" s="4" t="inlineStr">
        <is>
          <t>auth.mutations.ts › signupFn:196-205</t>
        </is>
      </c>
      <c r="O78" s="28" t="inlineStr">
        <is>
          <t>F-06</t>
        </is>
      </c>
      <c r="P78" s="29" t="n"/>
      <c r="Q78" s="30" t="inlineStr">
        <is>
          <t>Not Run</t>
        </is>
      </c>
      <c r="R78" s="30" t="n"/>
      <c r="S78" s="31" t="n"/>
      <c r="T78" s="29" t="n"/>
    </row>
    <row r="79" ht="49" customHeight="1">
      <c r="A79" s="27" t="inlineStr">
        <is>
          <t>TC-REG-032</t>
        </is>
      </c>
      <c r="B79" s="4" t="inlineStr">
        <is>
          <t>Registration</t>
        </is>
      </c>
      <c r="C79" s="4" t="inlineStr">
        <is>
          <t>Verification email cannot be sent</t>
        </is>
      </c>
      <c r="D79" s="28" t="inlineStr">
        <is>
          <t>Negative</t>
        </is>
      </c>
      <c r="E79" s="28" t="inlineStr">
        <is>
          <t>High</t>
        </is>
      </c>
      <c r="F79" s="28" t="inlineStr">
        <is>
          <t>API</t>
        </is>
      </c>
      <c r="G79" s="28" t="inlineStr">
        <is>
          <t>Stub (temp edit)</t>
        </is>
      </c>
      <c r="H79" s="28" t="inlineStr">
        <is>
          <t>Core</t>
        </is>
      </c>
      <c r="I79" s="4" t="inlineStr">
        <is>
          <t>Signed out; test inbox is reachable.</t>
        </is>
      </c>
      <c r="J79" s="4" t="inlineStr">
        <is>
          <t>1. Stub the mail provider to fail.
2. Submit a valid registration.
3. Restore the provider and register again.</t>
        </is>
      </c>
      <c r="K79" s="4" t="inlineStr">
        <is>
          <t>mail provider error</t>
        </is>
      </c>
      <c r="L79" s="4" t="inlineStr">
        <is>
          <t>[Known issue F-16 - current code differs] User sees "Account not created" with a failure message; no dialog opens; second attempt works. The raw provider message should not be shown to residents.</t>
        </is>
      </c>
      <c r="M79" s="4" t="inlineStr">
        <is>
          <t>REG-13, EML-02</t>
        </is>
      </c>
      <c r="N79" s="4" t="inlineStr">
        <is>
          <t>auth.mutations.ts › signupFn:85-91</t>
        </is>
      </c>
      <c r="O79" s="28" t="inlineStr">
        <is>
          <t>F-16</t>
        </is>
      </c>
      <c r="P79" s="29" t="n"/>
      <c r="Q79" s="30" t="inlineStr">
        <is>
          <t>Not Run</t>
        </is>
      </c>
      <c r="R79" s="30" t="n"/>
      <c r="S79" s="31" t="n"/>
      <c r="T79" s="29" t="n"/>
    </row>
    <row r="80" ht="49" customHeight="1">
      <c r="A80" s="27" t="inlineStr">
        <is>
          <t>TC-REG-033</t>
        </is>
      </c>
      <c r="B80" s="4" t="inlineStr">
        <is>
          <t>Registration</t>
        </is>
      </c>
      <c r="C80" s="4" t="inlineStr">
        <is>
          <t>Backend createUser returns an empty error</t>
        </is>
      </c>
      <c r="D80" s="28" t="inlineStr">
        <is>
          <t>Edge</t>
        </is>
      </c>
      <c r="E80" s="28" t="inlineStr">
        <is>
          <t>Low</t>
        </is>
      </c>
      <c r="F80" s="28" t="inlineStr">
        <is>
          <t>API</t>
        </is>
      </c>
      <c r="G80" s="28" t="inlineStr">
        <is>
          <t>Stub (temp edit)</t>
        </is>
      </c>
      <c r="H80" s="28" t="inlineStr">
        <is>
          <t>Extended</t>
        </is>
      </c>
      <c r="I80" s="4" t="inlineStr">
        <is>
          <t>Signed out; test inbox is reachable.</t>
        </is>
      </c>
      <c r="J80" s="4" t="inlineStr">
        <is>
          <t>1. Stub createUser error with message "{}".</t>
        </is>
      </c>
      <c r="K80" s="4" t="inlineStr">
        <is>
          <t>stubbed</t>
        </is>
      </c>
      <c r="L80" s="4" t="inlineStr">
        <is>
          <t>[Known issue F-16 - current code differs] Friendly fallback text shown (currently references the SMTP configuration in the Supabase dashboard).</t>
        </is>
      </c>
      <c r="M80" s="4" t="inlineStr">
        <is>
          <t>REG-12</t>
        </is>
      </c>
      <c r="N80" s="4" t="inlineStr">
        <is>
          <t>auth.mutations.ts › signupFn:226-234</t>
        </is>
      </c>
      <c r="O80" s="28" t="inlineStr">
        <is>
          <t>F-16</t>
        </is>
      </c>
      <c r="P80" s="29" t="n"/>
      <c r="Q80" s="30" t="inlineStr">
        <is>
          <t>Not Run</t>
        </is>
      </c>
      <c r="R80" s="30" t="n"/>
      <c r="S80" s="31" t="n"/>
      <c r="T80" s="29" t="n"/>
    </row>
    <row r="81" ht="34" customHeight="1">
      <c r="A81" s="27" t="inlineStr">
        <is>
          <t>TC-REG-034</t>
        </is>
      </c>
      <c r="B81" s="4" t="inlineStr">
        <is>
          <t>Registration</t>
        </is>
      </c>
      <c r="C81" s="4" t="inlineStr">
        <is>
          <t>Network failure during sign-up</t>
        </is>
      </c>
      <c r="D81" s="28" t="inlineStr">
        <is>
          <t>Edge</t>
        </is>
      </c>
      <c r="E81" s="28" t="inlineStr">
        <is>
          <t>Medium</t>
        </is>
      </c>
      <c r="F81" s="28" t="inlineStr">
        <is>
          <t>UI</t>
        </is>
      </c>
      <c r="G81" s="28" t="inlineStr">
        <is>
          <t>Manual UI</t>
        </is>
      </c>
      <c r="H81" s="28" t="inlineStr">
        <is>
          <t>Extended</t>
        </is>
      </c>
      <c r="I81" s="4" t="inlineStr">
        <is>
          <t>Signed out; test inbox is reachable.</t>
        </is>
      </c>
      <c r="J81" s="4" t="inlineStr">
        <is>
          <t>1. Go offline and submit a valid form.</t>
        </is>
      </c>
      <c r="K81" s="4" t="inlineStr">
        <is>
          <t>valid form</t>
        </is>
      </c>
      <c r="L81" s="4" t="inlineStr">
        <is>
          <t>No dialog opens; the user sees an error/toast and can retry after reconnecting; form values are not lost.</t>
        </is>
      </c>
      <c r="M81" s="4" t="inlineStr">
        <is>
          <t>REG-23</t>
        </is>
      </c>
      <c r="N81" s="4" t="inlineStr">
        <is>
          <t>useSignUp.ts</t>
        </is>
      </c>
      <c r="O81" s="28" t="inlineStr"/>
      <c r="P81" s="29" t="n"/>
      <c r="Q81" s="30" t="inlineStr">
        <is>
          <t>Not Run</t>
        </is>
      </c>
      <c r="R81" s="30" t="n"/>
      <c r="S81" s="31" t="n"/>
      <c r="T81" s="29" t="n"/>
    </row>
    <row r="82" ht="34" customHeight="1">
      <c r="A82" s="27" t="inlineStr">
        <is>
          <t>TC-REG-035</t>
        </is>
      </c>
      <c r="B82" s="4" t="inlineStr">
        <is>
          <t>Registration</t>
        </is>
      </c>
      <c r="C82" s="4" t="inlineStr">
        <is>
          <t>Double-click on Sign up creates one account</t>
        </is>
      </c>
      <c r="D82" s="28" t="inlineStr">
        <is>
          <t>Edge</t>
        </is>
      </c>
      <c r="E82" s="28" t="inlineStr">
        <is>
          <t>High</t>
        </is>
      </c>
      <c r="F82" s="28" t="inlineStr">
        <is>
          <t>UI</t>
        </is>
      </c>
      <c r="G82" s="28" t="inlineStr">
        <is>
          <t>Manual UI</t>
        </is>
      </c>
      <c r="H82" s="28" t="inlineStr">
        <is>
          <t>Core</t>
        </is>
      </c>
      <c r="I82" s="4" t="inlineStr">
        <is>
          <t>Signed out; test inbox is reachable.</t>
        </is>
      </c>
      <c r="J82" s="4" t="inlineStr">
        <is>
          <t>1. Submit a valid form by double-clicking Sign up.</t>
        </is>
      </c>
      <c r="K82" s="4" t="inlineStr">
        <is>
          <t>valid form</t>
        </is>
      </c>
      <c r="L82" s="4" t="inlineStr">
        <is>
          <t>One request; button disabled showing "Creating account"; one OTP email.</t>
        </is>
      </c>
      <c r="M82" s="4" t="inlineStr">
        <is>
          <t>REG-21</t>
        </is>
      </c>
      <c r="N82" s="4" t="inlineStr">
        <is>
          <t>RegisterForm.tsx:379-392</t>
        </is>
      </c>
      <c r="O82" s="28" t="inlineStr"/>
      <c r="P82" s="29" t="n"/>
      <c r="Q82" s="30" t="inlineStr">
        <is>
          <t>Not Run</t>
        </is>
      </c>
      <c r="R82" s="30" t="n"/>
      <c r="S82" s="31" t="n"/>
      <c r="T82" s="29" t="n"/>
    </row>
    <row r="83" ht="49" customHeight="1">
      <c r="A83" s="27" t="inlineStr">
        <is>
          <t>TC-REG-036</t>
        </is>
      </c>
      <c r="B83" s="4" t="inlineStr">
        <is>
          <t>Registration</t>
        </is>
      </c>
      <c r="C83" s="4" t="inlineStr">
        <is>
          <t>Script payload in name fields</t>
        </is>
      </c>
      <c r="D83" s="28" t="inlineStr">
        <is>
          <t>Security</t>
        </is>
      </c>
      <c r="E83" s="28" t="inlineStr">
        <is>
          <t>High</t>
        </is>
      </c>
      <c r="F83" s="28" t="inlineStr">
        <is>
          <t>UI</t>
        </is>
      </c>
      <c r="G83" s="28" t="inlineStr">
        <is>
          <t>Manual UI</t>
        </is>
      </c>
      <c r="H83" s="28" t="inlineStr">
        <is>
          <t>Core</t>
        </is>
      </c>
      <c r="I83" s="4" t="inlineStr">
        <is>
          <t>Signed out; test inbox is reachable.</t>
        </is>
      </c>
      <c r="J83" s="4" t="inlineStr">
        <is>
          <t>1. Register with the payload as first name.
2. Confirm; view dashboard, sidebar and the OTP email.</t>
        </is>
      </c>
      <c r="K83" s="4" t="inlineStr">
        <is>
          <t>&lt;script&gt;alert(1)&lt;/script&gt;</t>
        </is>
      </c>
      <c r="L83" s="4" t="inlineStr">
        <is>
          <t>Stored as text; escaped everywhere it is displayed, including the email greeting; no script executes.</t>
        </is>
      </c>
      <c r="M83" s="4" t="inlineStr">
        <is>
          <t>REG-16, EML-01</t>
        </is>
      </c>
      <c r="N83" s="4" t="inlineStr">
        <is>
          <t>auth.mutations.ts › signupFn</t>
        </is>
      </c>
      <c r="O83" s="28" t="inlineStr"/>
      <c r="P83" s="29" t="n"/>
      <c r="Q83" s="30" t="inlineStr">
        <is>
          <t>Not Run</t>
        </is>
      </c>
      <c r="R83" s="30" t="n"/>
      <c r="S83" s="31" t="n"/>
      <c r="T83" s="29" t="n"/>
    </row>
    <row r="84" ht="34" customHeight="1">
      <c r="A84" s="27" t="inlineStr">
        <is>
          <t>TC-REG-037</t>
        </is>
      </c>
      <c r="B84" s="4" t="inlineStr">
        <is>
          <t>Registration</t>
        </is>
      </c>
      <c r="C84" s="4" t="inlineStr">
        <is>
          <t>SQL-injection string in name fields</t>
        </is>
      </c>
      <c r="D84" s="28" t="inlineStr">
        <is>
          <t>Security</t>
        </is>
      </c>
      <c r="E84" s="28" t="inlineStr">
        <is>
          <t>High</t>
        </is>
      </c>
      <c r="F84" s="28" t="inlineStr">
        <is>
          <t>DB</t>
        </is>
      </c>
      <c r="G84" s="28" t="inlineStr">
        <is>
          <t>Manual + DB</t>
        </is>
      </c>
      <c r="H84" s="28" t="inlineStr">
        <is>
          <t>Core</t>
        </is>
      </c>
      <c r="I84" s="4" t="inlineStr">
        <is>
          <t>Signed out; test inbox is reachable.</t>
        </is>
      </c>
      <c r="J84" s="4" t="inlineStr">
        <is>
          <t>1. Register with the value as last name.
2. Check the profiles table.</t>
        </is>
      </c>
      <c r="K84" s="4" t="inlineStr">
        <is>
          <t>Robert'); DROP TABLE profiles;--</t>
        </is>
      </c>
      <c r="L84" s="4" t="inlineStr">
        <is>
          <t>Stored literally; tables intact; no error.</t>
        </is>
      </c>
      <c r="M84" s="4" t="inlineStr">
        <is>
          <t>REG-16</t>
        </is>
      </c>
      <c r="N84" s="4" t="inlineStr">
        <is>
          <t>auth.mutations.ts › signupFn</t>
        </is>
      </c>
      <c r="O84" s="28" t="inlineStr"/>
      <c r="P84" s="29" t="n"/>
      <c r="Q84" s="30" t="inlineStr">
        <is>
          <t>Not Run</t>
        </is>
      </c>
      <c r="R84" s="30" t="n"/>
      <c r="S84" s="31" t="n"/>
      <c r="T84" s="29" t="n"/>
    </row>
    <row r="85" ht="49" customHeight="1">
      <c r="A85" s="27" t="inlineStr">
        <is>
          <t>TC-REG-038</t>
        </is>
      </c>
      <c r="B85" s="4" t="inlineStr">
        <is>
          <t>Registration</t>
        </is>
      </c>
      <c r="C85" s="4" t="inlineStr">
        <is>
          <t>Surrounding spaces in first and last name</t>
        </is>
      </c>
      <c r="D85" s="28" t="inlineStr">
        <is>
          <t>Edge</t>
        </is>
      </c>
      <c r="E85" s="28" t="inlineStr">
        <is>
          <t>Medium</t>
        </is>
      </c>
      <c r="F85" s="28" t="inlineStr">
        <is>
          <t>DB</t>
        </is>
      </c>
      <c r="G85" s="28" t="inlineStr">
        <is>
          <t>Manual + DB</t>
        </is>
      </c>
      <c r="H85" s="28" t="inlineStr">
        <is>
          <t>Extended</t>
        </is>
      </c>
      <c r="I85" s="4" t="inlineStr">
        <is>
          <t>Signed out; test inbox is reachable.</t>
        </is>
      </c>
      <c r="J85" s="4" t="inlineStr">
        <is>
          <t>1. Register with " Juan " and " Dela Cruz ".
2. Query profiles.</t>
        </is>
      </c>
      <c r="K85" s="4" t="inlineStr">
        <is>
          <t>padded names</t>
        </is>
      </c>
      <c r="L85" s="4" t="inlineStr">
        <is>
          <t>[Known issue F-04 - current code differs] Names are trimmed before storage (middle name already is). Currently first/last are stored untrimmed.</t>
        </is>
      </c>
      <c r="M85" s="4" t="inlineStr">
        <is>
          <t>REG-01, REG-02, REG-20</t>
        </is>
      </c>
      <c r="N85" s="4" t="inlineStr">
        <is>
          <t>RegisterForm.tsx:107-113</t>
        </is>
      </c>
      <c r="O85" s="28" t="inlineStr">
        <is>
          <t>F-04</t>
        </is>
      </c>
      <c r="P85" s="29" t="n"/>
      <c r="Q85" s="30" t="inlineStr">
        <is>
          <t>Not Run</t>
        </is>
      </c>
      <c r="R85" s="30" t="n"/>
      <c r="S85" s="31" t="n"/>
      <c r="T85" s="29" t="n"/>
    </row>
    <row r="86" ht="34" customHeight="1">
      <c r="A86" s="27" t="inlineStr">
        <is>
          <t>TC-REG-039</t>
        </is>
      </c>
      <c r="B86" s="4" t="inlineStr">
        <is>
          <t>Registration</t>
        </is>
      </c>
      <c r="C86" s="4" t="inlineStr">
        <is>
          <t>Verify dialog: "Use a different email"</t>
        </is>
      </c>
      <c r="D86" s="28" t="inlineStr">
        <is>
          <t>Positive</t>
        </is>
      </c>
      <c r="E86" s="28" t="inlineStr">
        <is>
          <t>Low</t>
        </is>
      </c>
      <c r="F86" s="28" t="inlineStr">
        <is>
          <t>UI</t>
        </is>
      </c>
      <c r="G86" s="28" t="inlineStr">
        <is>
          <t>Manual UI</t>
        </is>
      </c>
      <c r="H86" s="28" t="inlineStr">
        <is>
          <t>Extended</t>
        </is>
      </c>
      <c r="I86" s="4" t="inlineStr">
        <is>
          <t>Signed out; test inbox is reachable.</t>
        </is>
      </c>
      <c r="J86" s="4" t="inlineStr">
        <is>
          <t>1. Register; with the dialog open choose to use a different email.</t>
        </is>
      </c>
      <c r="K86" s="4" t="inlineStr">
        <is>
          <t>—</t>
        </is>
      </c>
      <c r="L86" s="4" t="inlineStr">
        <is>
          <t>Dialog closes; form is shown empty (it was reset); previous pending data is discarded from memory.</t>
        </is>
      </c>
      <c r="M86" s="4" t="inlineStr">
        <is>
          <t>REG-15, REG-19</t>
        </is>
      </c>
      <c r="N86" s="4" t="inlineStr">
        <is>
          <t>RegisterForm.tsx:146</t>
        </is>
      </c>
      <c r="O86" s="28" t="inlineStr"/>
      <c r="P86" s="29" t="n"/>
      <c r="Q86" s="30" t="inlineStr">
        <is>
          <t>Not Run</t>
        </is>
      </c>
      <c r="R86" s="30" t="n"/>
      <c r="S86" s="31" t="n"/>
      <c r="T86" s="29" t="n"/>
    </row>
    <row r="87" ht="49" customHeight="1">
      <c r="A87" s="27" t="inlineStr">
        <is>
          <t>TC-REG-040</t>
        </is>
      </c>
      <c r="B87" s="4" t="inlineStr">
        <is>
          <t>Registration</t>
        </is>
      </c>
      <c r="C87" s="4" t="inlineStr">
        <is>
          <t>Resend from the verify dialog issues a fresh code</t>
        </is>
      </c>
      <c r="D87" s="28" t="inlineStr">
        <is>
          <t>Positive</t>
        </is>
      </c>
      <c r="E87" s="28" t="inlineStr">
        <is>
          <t>High</t>
        </is>
      </c>
      <c r="F87" s="28" t="inlineStr">
        <is>
          <t>UI</t>
        </is>
      </c>
      <c r="G87" s="28" t="inlineStr">
        <is>
          <t>Manual UI</t>
        </is>
      </c>
      <c r="H87" s="28" t="inlineStr">
        <is>
          <t>Core</t>
        </is>
      </c>
      <c r="I87" s="4" t="inlineStr">
        <is>
          <t>Signed out; test inbox is reachable.</t>
        </is>
      </c>
      <c r="J87" s="4" t="inlineStr">
        <is>
          <t>1. Register.
2. Wait for the 30 s cooldown; click Resend.
3. Try the first code, then the second.</t>
        </is>
      </c>
      <c r="K87" s="4" t="inlineStr">
        <is>
          <t>—</t>
        </is>
      </c>
      <c r="L87" s="4" t="inlineStr">
        <is>
          <t>New OTP email sent; first code rejected with the "old code" message; second code verifies.</t>
        </is>
      </c>
      <c r="M87" s="4" t="inlineStr">
        <is>
          <t>REG-14, OTP-11</t>
        </is>
      </c>
      <c r="N87" s="4" t="inlineStr">
        <is>
          <t>RegisterForm.tsx:142-145</t>
        </is>
      </c>
      <c r="O87" s="28" t="inlineStr"/>
      <c r="P87" s="29" t="n"/>
      <c r="Q87" s="30" t="inlineStr">
        <is>
          <t>Not Run</t>
        </is>
      </c>
      <c r="R87" s="30" t="n"/>
      <c r="S87" s="31" t="n"/>
      <c r="T87" s="29" t="n"/>
    </row>
    <row r="88" ht="34" customHeight="1">
      <c r="A88" s="27" t="inlineStr">
        <is>
          <t>TC-REG-041</t>
        </is>
      </c>
      <c r="B88" s="4" t="inlineStr">
        <is>
          <t>Registration</t>
        </is>
      </c>
      <c r="C88" s="4" t="inlineStr">
        <is>
          <t>Reload while the verify dialog is open</t>
        </is>
      </c>
      <c r="D88" s="28" t="inlineStr">
        <is>
          <t>Edge</t>
        </is>
      </c>
      <c r="E88" s="28" t="inlineStr">
        <is>
          <t>Medium</t>
        </is>
      </c>
      <c r="F88" s="28" t="inlineStr">
        <is>
          <t>UI</t>
        </is>
      </c>
      <c r="G88" s="28" t="inlineStr">
        <is>
          <t>Manual UI</t>
        </is>
      </c>
      <c r="H88" s="28" t="inlineStr">
        <is>
          <t>Extended</t>
        </is>
      </c>
      <c r="I88" s="4" t="inlineStr">
        <is>
          <t>Signed out; test inbox is reachable.</t>
        </is>
      </c>
      <c r="J88" s="4" t="inlineStr">
        <is>
          <t>1. Register; with the dialog open reload the page.
2. Sign in with the new credentials.</t>
        </is>
      </c>
      <c r="K88" s="4" t="inlineStr">
        <is>
          <t>—</t>
        </is>
      </c>
      <c r="L88" s="4" t="inlineStr">
        <is>
          <t>Pending data (in memory only) is lost; signing in triggers the unconfirmed flow and sends a fresh code, so the user is never stuck.</t>
        </is>
      </c>
      <c r="M88" s="4" t="inlineStr">
        <is>
          <t>REG-19, LGN-06</t>
        </is>
      </c>
      <c r="N88" s="4" t="inlineStr">
        <is>
          <t>RegisterForm.tsx:83-89</t>
        </is>
      </c>
      <c r="O88" s="28" t="inlineStr"/>
      <c r="P88" s="29" t="n"/>
      <c r="Q88" s="30" t="inlineStr">
        <is>
          <t>Not Run</t>
        </is>
      </c>
      <c r="R88" s="30" t="n"/>
      <c r="S88" s="31" t="n"/>
      <c r="T88" s="29" t="n"/>
    </row>
    <row r="89" ht="34" customHeight="1">
      <c r="A89" s="27" t="inlineStr">
        <is>
          <t>TC-REG-042</t>
        </is>
      </c>
      <c r="B89" s="4" t="inlineStr">
        <is>
          <t>Registration</t>
        </is>
      </c>
      <c r="C89" s="4" t="inlineStr">
        <is>
          <t>Registering an email that already has a Google account</t>
        </is>
      </c>
      <c r="D89" s="28" t="inlineStr">
        <is>
          <t>Edge</t>
        </is>
      </c>
      <c r="E89" s="28" t="inlineStr">
        <is>
          <t>Medium</t>
        </is>
      </c>
      <c r="F89" s="28" t="inlineStr">
        <is>
          <t>UI</t>
        </is>
      </c>
      <c r="G89" s="28" t="inlineStr">
        <is>
          <t>Manual UI</t>
        </is>
      </c>
      <c r="H89" s="28" t="inlineStr">
        <is>
          <t>Extended</t>
        </is>
      </c>
      <c r="I89" s="4" t="inlineStr">
        <is>
          <t>Signed out; test inbox is reachable.</t>
        </is>
      </c>
      <c r="J89" s="4" t="inlineStr">
        <is>
          <t>1. Register with the email of an existing Google-created account.</t>
        </is>
      </c>
      <c r="K89" s="4" t="inlineStr">
        <is>
          <t>[ACC-10] email</t>
        </is>
      </c>
      <c r="L89" s="4" t="inlineStr">
        <is>
          <t>Handled as a duplicate; no second auth user and no loss of the Google identity.</t>
        </is>
      </c>
      <c r="M89" s="4" t="inlineStr">
        <is>
          <t>REG-10, OAU-12</t>
        </is>
      </c>
      <c r="N89" s="4" t="inlineStr">
        <is>
          <t>auth.mutations.ts › signupFn</t>
        </is>
      </c>
      <c r="O89" s="28" t="inlineStr"/>
      <c r="P89" s="29" t="n"/>
      <c r="Q89" s="30" t="inlineStr">
        <is>
          <t>Not Run</t>
        </is>
      </c>
      <c r="R89" s="30" t="n"/>
      <c r="S89" s="31" t="n"/>
      <c r="T89" s="29" t="n"/>
    </row>
    <row r="90" ht="34" customHeight="1">
      <c r="A90" s="27" t="inlineStr">
        <is>
          <t>TC-REG-043</t>
        </is>
      </c>
      <c r="B90" s="4" t="inlineStr">
        <is>
          <t>Registration</t>
        </is>
      </c>
      <c r="C90" s="4" t="inlineStr">
        <is>
          <t>Password visibility toggle on sign-up</t>
        </is>
      </c>
      <c r="D90" s="28" t="inlineStr">
        <is>
          <t>Positive</t>
        </is>
      </c>
      <c r="E90" s="28" t="inlineStr">
        <is>
          <t>Low</t>
        </is>
      </c>
      <c r="F90" s="28" t="inlineStr">
        <is>
          <t>UI</t>
        </is>
      </c>
      <c r="G90" s="28" t="inlineStr">
        <is>
          <t>Manual UI</t>
        </is>
      </c>
      <c r="H90" s="28" t="inlineStr">
        <is>
          <t>Extended</t>
        </is>
      </c>
      <c r="I90" s="4" t="inlineStr">
        <is>
          <t>Signed out; test inbox is reachable.</t>
        </is>
      </c>
      <c r="J90" s="4" t="inlineStr">
        <is>
          <t>1. Toggle the eye icon in the password field.</t>
        </is>
      </c>
      <c r="K90" s="4" t="inlineStr">
        <is>
          <t>—</t>
        </is>
      </c>
      <c r="L90" s="4" t="inlineStr">
        <is>
          <t>Shows/hides the typed password; value unchanged.</t>
        </is>
      </c>
      <c r="M90" s="4" t="inlineStr">
        <is>
          <t>REG-05</t>
        </is>
      </c>
      <c r="N90" s="4" t="inlineStr">
        <is>
          <t>RegisterForm.tsx</t>
        </is>
      </c>
      <c r="O90" s="28" t="inlineStr"/>
      <c r="P90" s="29" t="n"/>
      <c r="Q90" s="30" t="inlineStr">
        <is>
          <t>Not Run</t>
        </is>
      </c>
      <c r="R90" s="30" t="n"/>
      <c r="S90" s="31" t="n"/>
      <c r="T90" s="29" t="n"/>
    </row>
    <row r="91" ht="34" customHeight="1">
      <c r="A91" s="27" t="inlineStr">
        <is>
          <t>TC-REG-044</t>
        </is>
      </c>
      <c r="B91" s="4" t="inlineStr">
        <is>
          <t>Registration</t>
        </is>
      </c>
      <c r="C91" s="4" t="inlineStr">
        <is>
          <t>Keyboard and screen-reader operation of the sign-up form</t>
        </is>
      </c>
      <c r="D91" s="28" t="inlineStr">
        <is>
          <t>Positive</t>
        </is>
      </c>
      <c r="E91" s="28" t="inlineStr">
        <is>
          <t>Low</t>
        </is>
      </c>
      <c r="F91" s="28" t="inlineStr">
        <is>
          <t>UI</t>
        </is>
      </c>
      <c r="G91" s="28" t="inlineStr">
        <is>
          <t>Manual UI</t>
        </is>
      </c>
      <c r="H91" s="28" t="inlineStr">
        <is>
          <t>Extended</t>
        </is>
      </c>
      <c r="I91" s="4" t="inlineStr">
        <is>
          <t>Signed out; test inbox is reachable.</t>
        </is>
      </c>
      <c r="J91" s="4" t="inlineStr">
        <is>
          <t>1. Complete the form using only the keyboard.
2. Inspect labels and invalid-state ARIA.</t>
        </is>
      </c>
      <c r="K91" s="4" t="inlineStr">
        <is>
          <t>—</t>
        </is>
      </c>
      <c r="L91" s="4" t="inlineStr">
        <is>
          <t>Logical tab order, associated labels, aria-invalid on errors, checkboxes operable with Space.</t>
        </is>
      </c>
      <c r="M91" s="4" t="inlineStr">
        <is>
          <t>REG-01, REG-07</t>
        </is>
      </c>
      <c r="N91" s="4" t="inlineStr">
        <is>
          <t>RegisterForm.tsx</t>
        </is>
      </c>
      <c r="O91" s="28" t="inlineStr"/>
      <c r="P91" s="29" t="n"/>
      <c r="Q91" s="30" t="inlineStr">
        <is>
          <t>Not Run</t>
        </is>
      </c>
      <c r="R91" s="30" t="n"/>
      <c r="S91" s="31" t="n"/>
      <c r="T91" s="29" t="n"/>
    </row>
    <row r="92" ht="64" customHeight="1">
      <c r="A92" s="27" t="inlineStr">
        <is>
          <t>TC-OTP-001</t>
        </is>
      </c>
      <c r="B92" s="4" t="inlineStr">
        <is>
          <t>Email OTP verification</t>
        </is>
      </c>
      <c r="C92" s="4" t="inlineStr">
        <is>
          <t>Valid signup code confirms the account and signs the user in</t>
        </is>
      </c>
      <c r="D92" s="28" t="inlineStr">
        <is>
          <t>Positive</t>
        </is>
      </c>
      <c r="E92" s="28" t="inlineStr">
        <is>
          <t>High</t>
        </is>
      </c>
      <c r="F92" s="28" t="inlineStr">
        <is>
          <t>UI</t>
        </is>
      </c>
      <c r="G92" s="28" t="inlineStr">
        <is>
          <t>Manual UI</t>
        </is>
      </c>
      <c r="H92" s="28" t="inlineStr">
        <is>
          <t>Smoke</t>
        </is>
      </c>
      <c r="I92" s="4" t="inlineStr">
        <is>
          <t>A signup (or unconfirmed sign-in) has issued a code; the verify dialog is open; test inbox is reachable.</t>
        </is>
      </c>
      <c r="J92" s="4" t="inlineStr">
        <is>
          <t>1. Open the OTP email and read the code.
2. Enter it in the dialog.
3. Click Verify code.</t>
        </is>
      </c>
      <c r="K92" s="4" t="inlineStr">
        <is>
          <t>newest code from email</t>
        </is>
      </c>
      <c r="L92" s="4" t="inlineStr">
        <is>
          <t>Spinner "Verifying"; user lands on /dashboard signed in as an applicant; email_confirmed_at is set; auth_otp_codes rows for (email, signup) are deleted.</t>
        </is>
      </c>
      <c r="M92" s="4" t="inlineStr">
        <is>
          <t>OTP-04, OTP-12</t>
        </is>
      </c>
      <c r="N92" s="4" t="inlineStr">
        <is>
          <t>auth.mutations.ts › verifySignupOtpFn; useVerifySignupOtp.ts</t>
        </is>
      </c>
      <c r="O92" s="28" t="inlineStr"/>
      <c r="P92" s="29" t="n"/>
      <c r="Q92" s="30" t="inlineStr">
        <is>
          <t>Not Run</t>
        </is>
      </c>
      <c r="R92" s="30" t="n"/>
      <c r="S92" s="31" t="n"/>
      <c r="T92" s="29" t="n"/>
    </row>
    <row r="93" ht="34" customHeight="1">
      <c r="A93" s="27" t="inlineStr">
        <is>
          <t>TC-OTP-002</t>
        </is>
      </c>
      <c r="B93" s="4" t="inlineStr">
        <is>
          <t>Email OTP verification</t>
        </is>
      </c>
      <c r="C93" s="4" t="inlineStr">
        <is>
          <t>Valid code entered via the unconfirmed-sign-in path</t>
        </is>
      </c>
      <c r="D93" s="28" t="inlineStr">
        <is>
          <t>Positive</t>
        </is>
      </c>
      <c r="E93" s="28" t="inlineStr">
        <is>
          <t>High</t>
        </is>
      </c>
      <c r="F93" s="28" t="inlineStr">
        <is>
          <t>UI</t>
        </is>
      </c>
      <c r="G93" s="28" t="inlineStr">
        <is>
          <t>Manual UI</t>
        </is>
      </c>
      <c r="H93" s="28" t="inlineStr">
        <is>
          <t>Core</t>
        </is>
      </c>
      <c r="I93" s="4" t="inlineStr">
        <is>
          <t>[ACC-02] unconfirmed.</t>
        </is>
      </c>
      <c r="J93" s="4" t="inlineStr">
        <is>
          <t>1. Sign in with the unconfirmed account.
2. Enter the code from the auto-sent email.</t>
        </is>
      </c>
      <c r="K93" s="4" t="inlineStr">
        <is>
          <t>[ACC-02]</t>
        </is>
      </c>
      <c r="L93" s="4" t="inlineStr">
        <is>
          <t>Account confirmed and user is taken to /dashboard.</t>
        </is>
      </c>
      <c r="M93" s="4" t="inlineStr">
        <is>
          <t>OTP-04</t>
        </is>
      </c>
      <c r="N93" s="4" t="inlineStr">
        <is>
          <t>LoginForm.tsx:134-152</t>
        </is>
      </c>
      <c r="O93" s="28" t="inlineStr"/>
      <c r="P93" s="29" t="n"/>
      <c r="Q93" s="30" t="inlineStr">
        <is>
          <t>Not Run</t>
        </is>
      </c>
      <c r="R93" s="30" t="n"/>
      <c r="S93" s="31" t="n"/>
      <c r="T93" s="29" t="n"/>
    </row>
    <row r="94" ht="64" customHeight="1">
      <c r="A94" s="27" t="inlineStr">
        <is>
          <t>TC-OTP-003</t>
        </is>
      </c>
      <c r="B94" s="4" t="inlineStr">
        <is>
          <t>Email OTP verification</t>
        </is>
      </c>
      <c r="C94" s="4" t="inlineStr">
        <is>
          <t>Non-digit characters are stripped as typed</t>
        </is>
      </c>
      <c r="D94" s="28" t="inlineStr">
        <is>
          <t>Positive</t>
        </is>
      </c>
      <c r="E94" s="28" t="inlineStr">
        <is>
          <t>Medium</t>
        </is>
      </c>
      <c r="F94" s="28" t="inlineStr">
        <is>
          <t>UI</t>
        </is>
      </c>
      <c r="G94" s="28" t="inlineStr">
        <is>
          <t>Manual UI</t>
        </is>
      </c>
      <c r="H94" s="28" t="inlineStr">
        <is>
          <t>Extended</t>
        </is>
      </c>
      <c r="I94" s="4" t="inlineStr">
        <is>
          <t>A signup (or unconfirmed sign-in) has issued a code; the verify dialog is open; test inbox is reachable.</t>
        </is>
      </c>
      <c r="J94" s="4" t="inlineStr">
        <is>
          <t>1. Type "ab12-3c4 56" into the code field.</t>
        </is>
      </c>
      <c r="K94" s="4" t="inlineStr">
        <is>
          <t>ab12-3c4 56</t>
        </is>
      </c>
      <c r="L94" s="4" t="inlineStr">
        <is>
          <t>Field shows only "123456"; letters, dashes and spaces never appear.</t>
        </is>
      </c>
      <c r="M94" s="4" t="inlineStr">
        <is>
          <t>OTP-01</t>
        </is>
      </c>
      <c r="N94" s="4" t="inlineStr">
        <is>
          <t>OtpCodeForm.tsx:89-93</t>
        </is>
      </c>
      <c r="O94" s="28" t="inlineStr"/>
      <c r="P94" s="29" t="n"/>
      <c r="Q94" s="30" t="inlineStr">
        <is>
          <t>Not Run</t>
        </is>
      </c>
      <c r="R94" s="30" t="n"/>
      <c r="S94" s="31" t="n"/>
      <c r="T94" s="29" t="n"/>
    </row>
    <row r="95" ht="64" customHeight="1">
      <c r="A95" s="27" t="inlineStr">
        <is>
          <t>TC-OTP-004</t>
        </is>
      </c>
      <c r="B95" s="4" t="inlineStr">
        <is>
          <t>Email OTP verification</t>
        </is>
      </c>
      <c r="C95" s="4" t="inlineStr">
        <is>
          <t>Pasted code with spaces or dashes</t>
        </is>
      </c>
      <c r="D95" s="28" t="inlineStr">
        <is>
          <t>Edge</t>
        </is>
      </c>
      <c r="E95" s="28" t="inlineStr">
        <is>
          <t>Medium</t>
        </is>
      </c>
      <c r="F95" s="28" t="inlineStr">
        <is>
          <t>UI</t>
        </is>
      </c>
      <c r="G95" s="28" t="inlineStr">
        <is>
          <t>Manual UI</t>
        </is>
      </c>
      <c r="H95" s="28" t="inlineStr">
        <is>
          <t>Extended</t>
        </is>
      </c>
      <c r="I95" s="4" t="inlineStr">
        <is>
          <t>A signup (or unconfirmed sign-in) has issued a code; the verify dialog is open; test inbox is reachable.</t>
        </is>
      </c>
      <c r="J95" s="4" t="inlineStr">
        <is>
          <t>1. Paste "123 456" then "123-456".</t>
        </is>
      </c>
      <c r="K95" s="4" t="inlineStr">
        <is>
          <t>pasted strings</t>
        </is>
      </c>
      <c r="L95" s="4" t="inlineStr">
        <is>
          <t>Both become 123456 and Verify is enabled.</t>
        </is>
      </c>
      <c r="M95" s="4" t="inlineStr">
        <is>
          <t>OTP-16, OTP-01</t>
        </is>
      </c>
      <c r="N95" s="4" t="inlineStr">
        <is>
          <t>OtpCodeForm.tsx:89-93</t>
        </is>
      </c>
      <c r="O95" s="28" t="inlineStr"/>
      <c r="P95" s="29" t="n"/>
      <c r="Q95" s="30" t="inlineStr">
        <is>
          <t>Not Run</t>
        </is>
      </c>
      <c r="R95" s="30" t="n"/>
      <c r="S95" s="31" t="n"/>
      <c r="T95" s="29" t="n"/>
    </row>
    <row r="96" ht="64" customHeight="1">
      <c r="A96" s="27" t="inlineStr">
        <is>
          <t>TC-OTP-005</t>
        </is>
      </c>
      <c r="B96" s="4" t="inlineStr">
        <is>
          <t>Email OTP verification</t>
        </is>
      </c>
      <c r="C96" s="4" t="inlineStr">
        <is>
          <t>5 digits keeps Verify disabled (lower boundary - 1)</t>
        </is>
      </c>
      <c r="D96" s="28" t="inlineStr">
        <is>
          <t>Boundary</t>
        </is>
      </c>
      <c r="E96" s="28" t="inlineStr">
        <is>
          <t>High</t>
        </is>
      </c>
      <c r="F96" s="28" t="inlineStr">
        <is>
          <t>UI</t>
        </is>
      </c>
      <c r="G96" s="28" t="inlineStr">
        <is>
          <t>Manual UI</t>
        </is>
      </c>
      <c r="H96" s="28" t="inlineStr">
        <is>
          <t>Core</t>
        </is>
      </c>
      <c r="I96" s="4" t="inlineStr">
        <is>
          <t>A signup (or unconfirmed sign-in) has issued a code; the verify dialog is open; test inbox is reachable.</t>
        </is>
      </c>
      <c r="J96" s="4" t="inlineStr">
        <is>
          <t>1. Enter 5 digits.
2. Press Enter.</t>
        </is>
      </c>
      <c r="K96" s="4" t="inlineStr">
        <is>
          <t>12345</t>
        </is>
      </c>
      <c r="L96" s="4" t="inlineStr">
        <is>
          <t>Verify code button disabled; pressing Enter sends nothing.</t>
        </is>
      </c>
      <c r="M96" s="4" t="inlineStr">
        <is>
          <t>OTP-02</t>
        </is>
      </c>
      <c r="N96" s="4" t="inlineStr">
        <is>
          <t>OtpCodeForm.tsx:54,102</t>
        </is>
      </c>
      <c r="O96" s="28" t="inlineStr"/>
      <c r="P96" s="29" t="n"/>
      <c r="Q96" s="30" t="inlineStr">
        <is>
          <t>Not Run</t>
        </is>
      </c>
      <c r="R96" s="30" t="n"/>
      <c r="S96" s="31" t="n"/>
      <c r="T96" s="29" t="n"/>
    </row>
    <row r="97" ht="64" customHeight="1">
      <c r="A97" s="27" t="inlineStr">
        <is>
          <t>TC-OTP-006</t>
        </is>
      </c>
      <c r="B97" s="4" t="inlineStr">
        <is>
          <t>Email OTP verification</t>
        </is>
      </c>
      <c r="C97" s="4" t="inlineStr">
        <is>
          <t>6 digits enables Verify (lower boundary)</t>
        </is>
      </c>
      <c r="D97" s="28" t="inlineStr">
        <is>
          <t>Boundary</t>
        </is>
      </c>
      <c r="E97" s="28" t="inlineStr">
        <is>
          <t>High</t>
        </is>
      </c>
      <c r="F97" s="28" t="inlineStr">
        <is>
          <t>UI</t>
        </is>
      </c>
      <c r="G97" s="28" t="inlineStr">
        <is>
          <t>Manual UI</t>
        </is>
      </c>
      <c r="H97" s="28" t="inlineStr">
        <is>
          <t>Core</t>
        </is>
      </c>
      <c r="I97" s="4" t="inlineStr">
        <is>
          <t>A signup (or unconfirmed sign-in) has issued a code; the verify dialog is open; test inbox is reachable.</t>
        </is>
      </c>
      <c r="J97" s="4" t="inlineStr">
        <is>
          <t>1. Enter exactly 6 digits.</t>
        </is>
      </c>
      <c r="K97" s="4" t="inlineStr">
        <is>
          <t>123456</t>
        </is>
      </c>
      <c r="L97" s="4" t="inlineStr">
        <is>
          <t>Button enabled; submit sends the request.</t>
        </is>
      </c>
      <c r="M97" s="4" t="inlineStr">
        <is>
          <t>OTP-02</t>
        </is>
      </c>
      <c r="N97" s="4" t="inlineStr">
        <is>
          <t>OtpCodeForm.tsx:14,54</t>
        </is>
      </c>
      <c r="O97" s="28" t="inlineStr"/>
      <c r="P97" s="29" t="n"/>
      <c r="Q97" s="30" t="inlineStr">
        <is>
          <t>Not Run</t>
        </is>
      </c>
      <c r="R97" s="30" t="n"/>
      <c r="S97" s="31" t="n"/>
      <c r="T97" s="29" t="n"/>
    </row>
    <row r="98" ht="64" customHeight="1">
      <c r="A98" s="27" t="inlineStr">
        <is>
          <t>TC-OTP-007</t>
        </is>
      </c>
      <c r="B98" s="4" t="inlineStr">
        <is>
          <t>Email OTP verification</t>
        </is>
      </c>
      <c r="C98" s="4" t="inlineStr">
        <is>
          <t>12 digits accepted (upper boundary)</t>
        </is>
      </c>
      <c r="D98" s="28" t="inlineStr">
        <is>
          <t>Boundary</t>
        </is>
      </c>
      <c r="E98" s="28" t="inlineStr">
        <is>
          <t>Medium</t>
        </is>
      </c>
      <c r="F98" s="28" t="inlineStr">
        <is>
          <t>UI</t>
        </is>
      </c>
      <c r="G98" s="28" t="inlineStr">
        <is>
          <t>Manual UI</t>
        </is>
      </c>
      <c r="H98" s="28" t="inlineStr">
        <is>
          <t>Extended</t>
        </is>
      </c>
      <c r="I98" s="4" t="inlineStr">
        <is>
          <t>A signup (or unconfirmed sign-in) has issued a code; the verify dialog is open; test inbox is reachable.</t>
        </is>
      </c>
      <c r="J98" s="4" t="inlineStr">
        <is>
          <t>1. Enter 12 digits.</t>
        </is>
      </c>
      <c r="K98" s="4" t="inlineStr">
        <is>
          <t>123456789012</t>
        </is>
      </c>
      <c r="L98" s="4" t="inlineStr">
        <is>
          <t>All 12 digits remain; request is sent (server decides validity).</t>
        </is>
      </c>
      <c r="M98" s="4" t="inlineStr">
        <is>
          <t>OTP-03</t>
        </is>
      </c>
      <c r="N98" s="4" t="inlineStr">
        <is>
          <t>OtpCodeForm.tsx:15</t>
        </is>
      </c>
      <c r="O98" s="28" t="inlineStr"/>
      <c r="P98" s="29" t="n"/>
      <c r="Q98" s="30" t="inlineStr">
        <is>
          <t>Not Run</t>
        </is>
      </c>
      <c r="R98" s="30" t="n"/>
      <c r="S98" s="31" t="n"/>
      <c r="T98" s="29" t="n"/>
    </row>
    <row r="99" ht="64" customHeight="1">
      <c r="A99" s="27" t="inlineStr">
        <is>
          <t>TC-OTP-008</t>
        </is>
      </c>
      <c r="B99" s="4" t="inlineStr">
        <is>
          <t>Email OTP verification</t>
        </is>
      </c>
      <c r="C99" s="4" t="inlineStr">
        <is>
          <t>13th digit is ignored (upper boundary + 1)</t>
        </is>
      </c>
      <c r="D99" s="28" t="inlineStr">
        <is>
          <t>Boundary</t>
        </is>
      </c>
      <c r="E99" s="28" t="inlineStr">
        <is>
          <t>Medium</t>
        </is>
      </c>
      <c r="F99" s="28" t="inlineStr">
        <is>
          <t>UI</t>
        </is>
      </c>
      <c r="G99" s="28" t="inlineStr">
        <is>
          <t>Manual UI</t>
        </is>
      </c>
      <c r="H99" s="28" t="inlineStr">
        <is>
          <t>Extended</t>
        </is>
      </c>
      <c r="I99" s="4" t="inlineStr">
        <is>
          <t>A signup (or unconfirmed sign-in) has issued a code; the verify dialog is open; test inbox is reachable.</t>
        </is>
      </c>
      <c r="J99" s="4" t="inlineStr">
        <is>
          <t>1. Type or paste 13 digits.</t>
        </is>
      </c>
      <c r="K99" s="4" t="inlineStr">
        <is>
          <t>1234567890123</t>
        </is>
      </c>
      <c r="L99" s="4" t="inlineStr">
        <is>
          <t>Field is truncated to 12 digits.</t>
        </is>
      </c>
      <c r="M99" s="4" t="inlineStr">
        <is>
          <t>OTP-03</t>
        </is>
      </c>
      <c r="N99" s="4" t="inlineStr">
        <is>
          <t>OtpCodeForm.tsx:89-93</t>
        </is>
      </c>
      <c r="O99" s="28" t="inlineStr"/>
      <c r="P99" s="29" t="n"/>
      <c r="Q99" s="30" t="inlineStr">
        <is>
          <t>Not Run</t>
        </is>
      </c>
      <c r="R99" s="30" t="n"/>
      <c r="S99" s="31" t="n"/>
      <c r="T99" s="29" t="n"/>
    </row>
    <row r="100" ht="64" customHeight="1">
      <c r="A100" s="27" t="inlineStr">
        <is>
          <t>TC-OTP-009</t>
        </is>
      </c>
      <c r="B100" s="4" t="inlineStr">
        <is>
          <t>Email OTP verification</t>
        </is>
      </c>
      <c r="C100" s="4" t="inlineStr">
        <is>
          <t>Numeric keypad and autofocus on mobile</t>
        </is>
      </c>
      <c r="D100" s="28" t="inlineStr">
        <is>
          <t>Positive</t>
        </is>
      </c>
      <c r="E100" s="28" t="inlineStr">
        <is>
          <t>Low</t>
        </is>
      </c>
      <c r="F100" s="28" t="inlineStr">
        <is>
          <t>UI</t>
        </is>
      </c>
      <c r="G100" s="28" t="inlineStr">
        <is>
          <t>Manual UI</t>
        </is>
      </c>
      <c r="H100" s="28" t="inlineStr">
        <is>
          <t>Extended</t>
        </is>
      </c>
      <c r="I100" s="4" t="inlineStr">
        <is>
          <t>A signup (or unconfirmed sign-in) has issued a code; the verify dialog is open; test inbox is reachable.</t>
        </is>
      </c>
      <c r="J100" s="4" t="inlineStr">
        <is>
          <t>1. Open the dialog on a phone.</t>
        </is>
      </c>
      <c r="K100" s="4" t="inlineStr">
        <is>
          <t>—</t>
        </is>
      </c>
      <c r="L100" s="4" t="inlineStr">
        <is>
          <t>Field auto-focuses, numeric keypad is shown, and the OS one-time-code suggestion is offered.</t>
        </is>
      </c>
      <c r="M100" s="4" t="inlineStr">
        <is>
          <t>OTP-16</t>
        </is>
      </c>
      <c r="N100" s="4" t="inlineStr">
        <is>
          <t>OtpCodeForm.tsx:84-85,95</t>
        </is>
      </c>
      <c r="O100" s="28" t="inlineStr"/>
      <c r="P100" s="29" t="n"/>
      <c r="Q100" s="30" t="inlineStr">
        <is>
          <t>Not Run</t>
        </is>
      </c>
      <c r="R100" s="30" t="n"/>
      <c r="S100" s="31" t="n"/>
      <c r="T100" s="29" t="n"/>
    </row>
    <row r="101" ht="64" customHeight="1">
      <c r="A101" s="27" t="inlineStr">
        <is>
          <t>TC-OTP-010</t>
        </is>
      </c>
      <c r="B101" s="4" t="inlineStr">
        <is>
          <t>Email OTP verification</t>
        </is>
      </c>
      <c r="C101" s="4" t="inlineStr">
        <is>
          <t>Code that was never issued</t>
        </is>
      </c>
      <c r="D101" s="28" t="inlineStr">
        <is>
          <t>Negative</t>
        </is>
      </c>
      <c r="E101" s="28" t="inlineStr">
        <is>
          <t>High</t>
        </is>
      </c>
      <c r="F101" s="28" t="inlineStr">
        <is>
          <t>UI</t>
        </is>
      </c>
      <c r="G101" s="28" t="inlineStr">
        <is>
          <t>Manual UI</t>
        </is>
      </c>
      <c r="H101" s="28" t="inlineStr">
        <is>
          <t>Smoke</t>
        </is>
      </c>
      <c r="I101" s="4" t="inlineStr">
        <is>
          <t>A signup (or unconfirmed sign-in) has issued a code; the verify dialog is open; test inbox is reachable.</t>
        </is>
      </c>
      <c r="J101" s="4" t="inlineStr">
        <is>
          <t>1. Enter a random 6-digit code and verify.</t>
        </is>
      </c>
      <c r="K101" s="4" t="inlineStr">
        <is>
          <t>000000</t>
        </is>
      </c>
      <c r="L101" s="4" t="inlineStr">
        <is>
          <t>Message "Wrong code. Please check it and try again."; account stays unconfirmed.</t>
        </is>
      </c>
      <c r="M101" s="4" t="inlineStr">
        <is>
          <t>OTP-05</t>
        </is>
      </c>
      <c r="N101" s="4" t="inlineStr">
        <is>
          <t>otp-codes.server.ts:9,63-64</t>
        </is>
      </c>
      <c r="O101" s="28" t="inlineStr"/>
      <c r="P101" s="29" t="n"/>
      <c r="Q101" s="30" t="inlineStr">
        <is>
          <t>Not Run</t>
        </is>
      </c>
      <c r="R101" s="30" t="n"/>
      <c r="S101" s="31" t="n"/>
      <c r="T101" s="29" t="n"/>
    </row>
    <row r="102" ht="64" customHeight="1">
      <c r="A102" s="27" t="inlineStr">
        <is>
          <t>TC-OTP-011</t>
        </is>
      </c>
      <c r="B102" s="4" t="inlineStr">
        <is>
          <t>Email OTP verification</t>
        </is>
      </c>
      <c r="C102" s="4" t="inlineStr">
        <is>
          <t>Code replaced by a newer one</t>
        </is>
      </c>
      <c r="D102" s="28" t="inlineStr">
        <is>
          <t>Negative</t>
        </is>
      </c>
      <c r="E102" s="28" t="inlineStr">
        <is>
          <t>High</t>
        </is>
      </c>
      <c r="F102" s="28" t="inlineStr">
        <is>
          <t>UI</t>
        </is>
      </c>
      <c r="G102" s="28" t="inlineStr">
        <is>
          <t>Manual UI</t>
        </is>
      </c>
      <c r="H102" s="28" t="inlineStr">
        <is>
          <t>Core</t>
        </is>
      </c>
      <c r="I102" s="4" t="inlineStr">
        <is>
          <t>A signup (or unconfirmed sign-in) has issued a code; the verify dialog is open; test inbox is reachable.</t>
        </is>
      </c>
      <c r="J102" s="4" t="inlineStr">
        <is>
          <t>1. Note code A.
2. Wait out the cooldown and click Resend (code B).
3. Enter code A.</t>
        </is>
      </c>
      <c r="K102" s="4" t="inlineStr">
        <is>
          <t>code A</t>
        </is>
      </c>
      <c r="L102" s="4" t="inlineStr">
        <is>
          <t>Message "That's an old code. Enter the newest one we sent to your email."; code B still works.</t>
        </is>
      </c>
      <c r="M102" s="4" t="inlineStr">
        <is>
          <t>OTP-06, OTP-11</t>
        </is>
      </c>
      <c r="N102" s="4" t="inlineStr">
        <is>
          <t>otp-codes.server.ts:10-11,70</t>
        </is>
      </c>
      <c r="O102" s="28" t="inlineStr"/>
      <c r="P102" s="29" t="n"/>
      <c r="Q102" s="30" t="inlineStr">
        <is>
          <t>Not Run</t>
        </is>
      </c>
      <c r="R102" s="30" t="n"/>
      <c r="S102" s="31" t="n"/>
      <c r="T102" s="29" t="n"/>
    </row>
    <row r="103" ht="94" customHeight="1">
      <c r="A103" s="27" t="inlineStr">
        <is>
          <t>TC-OTP-012</t>
        </is>
      </c>
      <c r="B103" s="4" t="inlineStr">
        <is>
          <t>Email OTP verification</t>
        </is>
      </c>
      <c r="C103" s="4" t="inlineStr">
        <is>
          <t>Newest code used after one hour</t>
        </is>
      </c>
      <c r="D103" s="28" t="inlineStr">
        <is>
          <t>Negative</t>
        </is>
      </c>
      <c r="E103" s="28" t="inlineStr">
        <is>
          <t>High</t>
        </is>
      </c>
      <c r="F103" s="28" t="inlineStr">
        <is>
          <t>DB</t>
        </is>
      </c>
      <c r="G103" s="28" t="inlineStr">
        <is>
          <t>Manual + DB</t>
        </is>
      </c>
      <c r="H103" s="28" t="inlineStr">
        <is>
          <t>Core</t>
        </is>
      </c>
      <c r="I103" s="4" t="inlineStr">
        <is>
          <t>A signup (or unconfirmed sign-in) has issued a code; the verify dialog is open; test inbox is reachable.</t>
        </is>
      </c>
      <c r="J103" s="4" t="inlineStr">
        <is>
          <t>1. Request a code. Either wait 61 minutes, or in a test project set Supabase Email OTP Expiration to 60 s, wait, and backdate the newest auth_otp_codes.issued_at by 61 minutes (Supabase must reject the code AND the stored age must exceed 1 h).
2. Enter the code.</t>
        </is>
      </c>
      <c r="K103" s="4" t="inlineStr">
        <is>
          <t>newest code, age &gt; 1 h</t>
        </is>
      </c>
      <c r="L103" s="4" t="inlineStr">
        <is>
          <t>Message "This code has expired. Tap Resend to get a new one."</t>
        </is>
      </c>
      <c r="M103" s="4" t="inlineStr">
        <is>
          <t>OTP-07</t>
        </is>
      </c>
      <c r="N103" s="4" t="inlineStr">
        <is>
          <t>otp-codes.server.ts:12,67-70</t>
        </is>
      </c>
      <c r="O103" s="28" t="inlineStr"/>
      <c r="P103" s="29" t="n"/>
      <c r="Q103" s="30" t="inlineStr">
        <is>
          <t>Not Run</t>
        </is>
      </c>
      <c r="R103" s="30" t="n"/>
      <c r="S103" s="31" t="n"/>
      <c r="T103" s="29" t="n"/>
    </row>
    <row r="104" ht="34" customHeight="1">
      <c r="A104" s="27" t="inlineStr">
        <is>
          <t>TC-OTP-013</t>
        </is>
      </c>
      <c r="B104" s="4" t="inlineStr">
        <is>
          <t>Email OTP verification</t>
        </is>
      </c>
      <c r="C104" s="4" t="inlineStr">
        <is>
          <t>Expiry message boundary: age exactly 3,600,000 ms</t>
        </is>
      </c>
      <c r="D104" s="28" t="inlineStr">
        <is>
          <t>Boundary</t>
        </is>
      </c>
      <c r="E104" s="28" t="inlineStr">
        <is>
          <t>Medium</t>
        </is>
      </c>
      <c r="F104" s="28" t="inlineStr">
        <is>
          <t>Unit</t>
        </is>
      </c>
      <c r="G104" s="28" t="inlineStr">
        <is>
          <t>Unit (needs runner)</t>
        </is>
      </c>
      <c r="H104" s="28" t="inlineStr">
        <is>
          <t>Extended</t>
        </is>
      </c>
      <c r="I104" s="4" t="inlineStr">
        <is>
          <t>App running and reachable; tester is signed out.</t>
        </is>
      </c>
      <c r="J104" s="4" t="inlineStr">
        <is>
          <t>1. Mock Date.now so newest code age = 3,600,000 ms.
2. Call describeRejectedOtp.</t>
        </is>
      </c>
      <c r="K104" s="4" t="inlineStr">
        <is>
          <t>age = 3,600,000 ms</t>
        </is>
      </c>
      <c r="L104" s="4" t="inlineStr">
        <is>
          <t>Not past lifetime (strict &gt;): returns the "old code" message, not the expired message.</t>
        </is>
      </c>
      <c r="M104" s="4" t="inlineStr">
        <is>
          <t>OTP-08</t>
        </is>
      </c>
      <c r="N104" s="4" t="inlineStr">
        <is>
          <t>otp-codes.server.ts:67-70</t>
        </is>
      </c>
      <c r="O104" s="28" t="inlineStr"/>
      <c r="P104" s="29" t="n"/>
      <c r="Q104" s="30" t="inlineStr">
        <is>
          <t>Not Run</t>
        </is>
      </c>
      <c r="R104" s="30" t="n"/>
      <c r="S104" s="31" t="n"/>
      <c r="T104" s="29" t="n"/>
    </row>
    <row r="105" ht="34" customHeight="1">
      <c r="A105" s="27" t="inlineStr">
        <is>
          <t>TC-OTP-014</t>
        </is>
      </c>
      <c r="B105" s="4" t="inlineStr">
        <is>
          <t>Email OTP verification</t>
        </is>
      </c>
      <c r="C105" s="4" t="inlineStr">
        <is>
          <t>Expiry message boundary: age 3,600,001 ms</t>
        </is>
      </c>
      <c r="D105" s="28" t="inlineStr">
        <is>
          <t>Boundary</t>
        </is>
      </c>
      <c r="E105" s="28" t="inlineStr">
        <is>
          <t>Medium</t>
        </is>
      </c>
      <c r="F105" s="28" t="inlineStr">
        <is>
          <t>Unit</t>
        </is>
      </c>
      <c r="G105" s="28" t="inlineStr">
        <is>
          <t>Unit (needs runner)</t>
        </is>
      </c>
      <c r="H105" s="28" t="inlineStr">
        <is>
          <t>Extended</t>
        </is>
      </c>
      <c r="I105" s="4" t="inlineStr">
        <is>
          <t>App running and reachable; tester is signed out.</t>
        </is>
      </c>
      <c r="J105" s="4" t="inlineStr">
        <is>
          <t>1. Mock Date.now so newest code age = 3,600,001 ms.
2. Call describeRejectedOtp.</t>
        </is>
      </c>
      <c r="K105" s="4" t="inlineStr">
        <is>
          <t>age = 3,600,001 ms</t>
        </is>
      </c>
      <c r="L105" s="4" t="inlineStr">
        <is>
          <t>Returns "This code has expired. Tap Resend to get a new one."</t>
        </is>
      </c>
      <c r="M105" s="4" t="inlineStr">
        <is>
          <t>OTP-08</t>
        </is>
      </c>
      <c r="N105" s="4" t="inlineStr">
        <is>
          <t>otp-codes.server.ts:67-70</t>
        </is>
      </c>
      <c r="O105" s="28" t="inlineStr"/>
      <c r="P105" s="29" t="n"/>
      <c r="Q105" s="30" t="inlineStr">
        <is>
          <t>Not Run</t>
        </is>
      </c>
      <c r="R105" s="30" t="n"/>
      <c r="S105" s="31" t="n"/>
      <c r="T105" s="29" t="n"/>
    </row>
    <row r="106" ht="34" customHeight="1">
      <c r="A106" s="27" t="inlineStr">
        <is>
          <t>TC-OTP-015</t>
        </is>
      </c>
      <c r="B106" s="4" t="inlineStr">
        <is>
          <t>Email OTP verification</t>
        </is>
      </c>
      <c r="C106" s="4" t="inlineStr">
        <is>
          <t>Expiry message boundary: older (non-newest) expired code</t>
        </is>
      </c>
      <c r="D106" s="28" t="inlineStr">
        <is>
          <t>Edge</t>
        </is>
      </c>
      <c r="E106" s="28" t="inlineStr">
        <is>
          <t>Low</t>
        </is>
      </c>
      <c r="F106" s="28" t="inlineStr">
        <is>
          <t>Unit</t>
        </is>
      </c>
      <c r="G106" s="28" t="inlineStr">
        <is>
          <t>Unit (needs runner)</t>
        </is>
      </c>
      <c r="H106" s="28" t="inlineStr">
        <is>
          <t>Extended</t>
        </is>
      </c>
      <c r="I106" s="4" t="inlineStr">
        <is>
          <t>App running and reachable; tester is signed out.</t>
        </is>
      </c>
      <c r="J106" s="4" t="inlineStr">
        <is>
          <t>1. Seed two codes, the older beyond 1 h.
2. Submit the older code.</t>
        </is>
      </c>
      <c r="K106" s="4" t="inlineStr">
        <is>
          <t>older code, age &gt; 1 h</t>
        </is>
      </c>
      <c r="L106" s="4" t="inlineStr">
        <is>
          <t>Returns the "old code" message (only the newest code is reported as expired).</t>
        </is>
      </c>
      <c r="M106" s="4" t="inlineStr">
        <is>
          <t>OTP-06, OTP-08</t>
        </is>
      </c>
      <c r="N106" s="4" t="inlineStr">
        <is>
          <t>otp-codes.server.ts:66-70</t>
        </is>
      </c>
      <c r="O106" s="28" t="inlineStr"/>
      <c r="P106" s="29" t="n"/>
      <c r="Q106" s="30" t="inlineStr">
        <is>
          <t>Not Run</t>
        </is>
      </c>
      <c r="R106" s="30" t="n"/>
      <c r="S106" s="31" t="n"/>
      <c r="T106" s="29" t="n"/>
    </row>
    <row r="107" ht="64" customHeight="1">
      <c r="A107" s="27" t="inlineStr">
        <is>
          <t>TC-OTP-016</t>
        </is>
      </c>
      <c r="B107" s="4" t="inlineStr">
        <is>
          <t>Email OTP verification</t>
        </is>
      </c>
      <c r="C107" s="4" t="inlineStr">
        <is>
          <t>Replaying an already used code</t>
        </is>
      </c>
      <c r="D107" s="28" t="inlineStr">
        <is>
          <t>Edge</t>
        </is>
      </c>
      <c r="E107" s="28" t="inlineStr">
        <is>
          <t>Medium</t>
        </is>
      </c>
      <c r="F107" s="28" t="inlineStr">
        <is>
          <t>UI</t>
        </is>
      </c>
      <c r="G107" s="28" t="inlineStr">
        <is>
          <t>Manual UI</t>
        </is>
      </c>
      <c r="H107" s="28" t="inlineStr">
        <is>
          <t>Extended</t>
        </is>
      </c>
      <c r="I107" s="4" t="inlineStr">
        <is>
          <t>A signup (or unconfirmed sign-in) has issued a code; the verify dialog is open; test inbox is reachable.</t>
        </is>
      </c>
      <c r="J107" s="4" t="inlineStr">
        <is>
          <t>1. Verify a signup code successfully.
2. Replay the same verifySignupOtpFn request (DevTools → Network → Replay XHR, or curl) with the identical email and token.</t>
        </is>
      </c>
      <c r="K107" s="4" t="inlineStr">
        <is>
          <t>used code</t>
        </is>
      </c>
      <c r="L107" s="4" t="inlineStr">
        <is>
          <t>[Known issue F-13 - current code differs] Code is rejected. Intended message is "old code"; currently reports "Wrong code" because history is cleared on success.</t>
        </is>
      </c>
      <c r="M107" s="4" t="inlineStr">
        <is>
          <t>OTP-09</t>
        </is>
      </c>
      <c r="N107" s="4" t="inlineStr">
        <is>
          <t>otp-codes.server.ts:37-43,64</t>
        </is>
      </c>
      <c r="O107" s="28" t="inlineStr">
        <is>
          <t>F-13</t>
        </is>
      </c>
      <c r="P107" s="29" t="n"/>
      <c r="Q107" s="30" t="inlineStr">
        <is>
          <t>Not Run</t>
        </is>
      </c>
      <c r="R107" s="30" t="n"/>
      <c r="S107" s="31" t="n"/>
      <c r="T107" s="29" t="n"/>
    </row>
    <row r="108" ht="64" customHeight="1">
      <c r="A108" s="27" t="inlineStr">
        <is>
          <t>TC-OTP-017</t>
        </is>
      </c>
      <c r="B108" s="4" t="inlineStr">
        <is>
          <t>Email OTP verification</t>
        </is>
      </c>
      <c r="C108" s="4" t="inlineStr">
        <is>
          <t>Code for a different email address</t>
        </is>
      </c>
      <c r="D108" s="28" t="inlineStr">
        <is>
          <t>Security</t>
        </is>
      </c>
      <c r="E108" s="28" t="inlineStr">
        <is>
          <t>High</t>
        </is>
      </c>
      <c r="F108" s="28" t="inlineStr">
        <is>
          <t>API</t>
        </is>
      </c>
      <c r="G108" s="28" t="inlineStr">
        <is>
          <t>Direct API call</t>
        </is>
      </c>
      <c r="H108" s="28" t="inlineStr">
        <is>
          <t>Core</t>
        </is>
      </c>
      <c r="I108" s="4" t="inlineStr">
        <is>
          <t>A signup (or unconfirmed sign-in) has issued a code; the verify dialog is open; test inbox is reachable.</t>
        </is>
      </c>
      <c r="J108" s="4" t="inlineStr">
        <is>
          <t>1. Request codes for emails A and B.
2. Submit A's code with B's email.</t>
        </is>
      </c>
      <c r="K108" s="4" t="inlineStr">
        <is>
          <t>A's code + B's email</t>
        </is>
      </c>
      <c r="L108" s="4" t="inlineStr">
        <is>
          <t>Rejected; message is "Wrong code"; neither account is confirmed.</t>
        </is>
      </c>
      <c r="M108" s="4" t="inlineStr">
        <is>
          <t>OTP-05, FPW-14</t>
        </is>
      </c>
      <c r="N108" s="4" t="inlineStr">
        <is>
          <t>verifySignupOtpFn</t>
        </is>
      </c>
      <c r="O108" s="28" t="inlineStr"/>
      <c r="P108" s="29" t="n"/>
      <c r="Q108" s="30" t="inlineStr">
        <is>
          <t>Not Run</t>
        </is>
      </c>
      <c r="R108" s="30" t="n"/>
      <c r="S108" s="31" t="n"/>
      <c r="T108" s="29" t="n"/>
    </row>
    <row r="109" ht="64" customHeight="1">
      <c r="A109" s="27" t="inlineStr">
        <is>
          <t>TC-OTP-018</t>
        </is>
      </c>
      <c r="B109" s="4" t="inlineStr">
        <is>
          <t>Email OTP verification</t>
        </is>
      </c>
      <c r="C109" s="4" t="inlineStr">
        <is>
          <t>Email address case does not change code lookup</t>
        </is>
      </c>
      <c r="D109" s="28" t="inlineStr">
        <is>
          <t>Edge</t>
        </is>
      </c>
      <c r="E109" s="28" t="inlineStr">
        <is>
          <t>Medium</t>
        </is>
      </c>
      <c r="F109" s="28" t="inlineStr">
        <is>
          <t>API</t>
        </is>
      </c>
      <c r="G109" s="28" t="inlineStr">
        <is>
          <t>Direct API call</t>
        </is>
      </c>
      <c r="H109" s="28" t="inlineStr">
        <is>
          <t>Extended</t>
        </is>
      </c>
      <c r="I109" s="4" t="inlineStr">
        <is>
          <t>A signup (or unconfirmed sign-in) has issued a code; the verify dialog is open; test inbox is reachable.</t>
        </is>
      </c>
      <c r="J109" s="4" t="inlineStr">
        <is>
          <t>1. Verify with the email typed in a different case.</t>
        </is>
      </c>
      <c r="K109" s="4" t="inlineStr">
        <is>
          <t>USER@&lt;domain&gt; + valid code</t>
        </is>
      </c>
      <c r="L109" s="4" t="inlineStr">
        <is>
          <t>Verification succeeds exactly as with the lower-case email. A "Wrong code" result here would indicate a case-sensitivity defect (the app stores the email as typed and lower-cases it only for its own hash lookup).</t>
        </is>
      </c>
      <c r="M109" s="4" t="inlineStr">
        <is>
          <t>OTP-14</t>
        </is>
      </c>
      <c r="N109" s="4" t="inlineStr">
        <is>
          <t>otp-codes.server.ts:14-18</t>
        </is>
      </c>
      <c r="O109" s="28" t="inlineStr"/>
      <c r="P109" s="29" t="n"/>
      <c r="Q109" s="30" t="inlineStr">
        <is>
          <t>Not Run</t>
        </is>
      </c>
      <c r="R109" s="30" t="n"/>
      <c r="S109" s="31" t="n"/>
      <c r="T109" s="29" t="n"/>
    </row>
    <row r="110" ht="64" customHeight="1">
      <c r="A110" s="27" t="inlineStr">
        <is>
          <t>TC-OTP-019</t>
        </is>
      </c>
      <c r="B110" s="4" t="inlineStr">
        <is>
          <t>Email OTP verification</t>
        </is>
      </c>
      <c r="C110" s="4" t="inlineStr">
        <is>
          <t>Resend button cooldown countdown</t>
        </is>
      </c>
      <c r="D110" s="28" t="inlineStr">
        <is>
          <t>Positive</t>
        </is>
      </c>
      <c r="E110" s="28" t="inlineStr">
        <is>
          <t>Medium</t>
        </is>
      </c>
      <c r="F110" s="28" t="inlineStr">
        <is>
          <t>UI</t>
        </is>
      </c>
      <c r="G110" s="28" t="inlineStr">
        <is>
          <t>Manual UI</t>
        </is>
      </c>
      <c r="H110" s="28" t="inlineStr">
        <is>
          <t>Extended</t>
        </is>
      </c>
      <c r="I110" s="4" t="inlineStr">
        <is>
          <t>A signup (or unconfirmed sign-in) has issued a code; the verify dialog is open; test inbox is reachable.</t>
        </is>
      </c>
      <c r="J110" s="4" t="inlineStr">
        <is>
          <t>1. Open the dialog and watch Resend for 31 seconds.</t>
        </is>
      </c>
      <c r="K110" s="4" t="inlineStr">
        <is>
          <t>—</t>
        </is>
      </c>
      <c r="L110" s="4" t="inlineStr">
        <is>
          <t>Disabled and labelled "Resend in 30s" counting down each second to 1s; enabled as "Resend" at 0.</t>
        </is>
      </c>
      <c r="M110" s="4" t="inlineStr">
        <is>
          <t>OTP-10</t>
        </is>
      </c>
      <c r="N110" s="4" t="inlineStr">
        <is>
          <t>OtpCodeForm.tsx:16,44-50,121-127</t>
        </is>
      </c>
      <c r="O110" s="28" t="inlineStr"/>
      <c r="P110" s="29" t="n"/>
      <c r="Q110" s="30" t="inlineStr">
        <is>
          <t>Not Run</t>
        </is>
      </c>
      <c r="R110" s="30" t="n"/>
      <c r="S110" s="31" t="n"/>
      <c r="T110" s="29" t="n"/>
    </row>
    <row r="111" ht="64" customHeight="1">
      <c r="A111" s="27" t="inlineStr">
        <is>
          <t>TC-OTP-020</t>
        </is>
      </c>
      <c r="B111" s="4" t="inlineStr">
        <is>
          <t>Email OTP verification</t>
        </is>
      </c>
      <c r="C111" s="4" t="inlineStr">
        <is>
          <t>Cooldown boundary at 1 s and 0 s</t>
        </is>
      </c>
      <c r="D111" s="28" t="inlineStr">
        <is>
          <t>Boundary</t>
        </is>
      </c>
      <c r="E111" s="28" t="inlineStr">
        <is>
          <t>Medium</t>
        </is>
      </c>
      <c r="F111" s="28" t="inlineStr">
        <is>
          <t>UI</t>
        </is>
      </c>
      <c r="G111" s="28" t="inlineStr">
        <is>
          <t>Manual UI</t>
        </is>
      </c>
      <c r="H111" s="28" t="inlineStr">
        <is>
          <t>Extended</t>
        </is>
      </c>
      <c r="I111" s="4" t="inlineStr">
        <is>
          <t>A signup (or unconfirmed sign-in) has issued a code; the verify dialog is open; test inbox is reachable.</t>
        </is>
      </c>
      <c r="J111" s="4" t="inlineStr">
        <is>
          <t>1. Click Resend at 1 s remaining; again at 0 s.</t>
        </is>
      </c>
      <c r="K111" s="4" t="inlineStr">
        <is>
          <t>—</t>
        </is>
      </c>
      <c r="L111" s="4" t="inlineStr">
        <is>
          <t>At 1 s the button is disabled (click ignored); at 0 s it is enabled and accepted.</t>
        </is>
      </c>
      <c r="M111" s="4" t="inlineStr">
        <is>
          <t>OTP-10</t>
        </is>
      </c>
      <c r="N111" s="4" t="inlineStr">
        <is>
          <t>OtpCodeForm.tsx:121</t>
        </is>
      </c>
      <c r="O111" s="28" t="inlineStr"/>
      <c r="P111" s="29" t="n"/>
      <c r="Q111" s="30" t="inlineStr">
        <is>
          <t>Not Run</t>
        </is>
      </c>
      <c r="R111" s="30" t="n"/>
      <c r="S111" s="31" t="n"/>
      <c r="T111" s="29" t="n"/>
    </row>
    <row r="112" ht="64" customHeight="1">
      <c r="A112" s="27" t="inlineStr">
        <is>
          <t>TC-OTP-021</t>
        </is>
      </c>
      <c r="B112" s="4" t="inlineStr">
        <is>
          <t>Email OTP verification</t>
        </is>
      </c>
      <c r="C112" s="4" t="inlineStr">
        <is>
          <t>Resend clears input, restarts cooldown and invalidates the old code</t>
        </is>
      </c>
      <c r="D112" s="28" t="inlineStr">
        <is>
          <t>Positive</t>
        </is>
      </c>
      <c r="E112" s="28" t="inlineStr">
        <is>
          <t>High</t>
        </is>
      </c>
      <c r="F112" s="28" t="inlineStr">
        <is>
          <t>UI</t>
        </is>
      </c>
      <c r="G112" s="28" t="inlineStr">
        <is>
          <t>Manual UI</t>
        </is>
      </c>
      <c r="H112" s="28" t="inlineStr">
        <is>
          <t>Core</t>
        </is>
      </c>
      <c r="I112" s="4" t="inlineStr">
        <is>
          <t>A signup (or unconfirmed sign-in) has issued a code; the verify dialog is open; test inbox is reachable.</t>
        </is>
      </c>
      <c r="J112" s="4" t="inlineStr">
        <is>
          <t>1. Type 3 digits.
2. Click Resend (after cooldown).</t>
        </is>
      </c>
      <c r="K112" s="4" t="inlineStr">
        <is>
          <t>—</t>
        </is>
      </c>
      <c r="L112" s="4" t="inlineStr">
        <is>
          <t>Input is cleared; cooldown restarts at 30 s; a new email arrives; the previous code is now "old".</t>
        </is>
      </c>
      <c r="M112" s="4" t="inlineStr">
        <is>
          <t>OTP-11, OTP-10</t>
        </is>
      </c>
      <c r="N112" s="4" t="inlineStr">
        <is>
          <t>OtpCodeForm.tsx:57-61</t>
        </is>
      </c>
      <c r="O112" s="28" t="inlineStr"/>
      <c r="P112" s="29" t="n"/>
      <c r="Q112" s="30" t="inlineStr">
        <is>
          <t>Not Run</t>
        </is>
      </c>
      <c r="R112" s="30" t="n"/>
      <c r="S112" s="31" t="n"/>
      <c r="T112" s="29" t="n"/>
    </row>
    <row r="113" ht="64" customHeight="1">
      <c r="A113" s="27" t="inlineStr">
        <is>
          <t>TC-OTP-022</t>
        </is>
      </c>
      <c r="B113" s="4" t="inlineStr">
        <is>
          <t>Email OTP verification</t>
        </is>
      </c>
      <c r="C113" s="4" t="inlineStr">
        <is>
          <t>Resend shows "Resending…" and cannot be double-clicked</t>
        </is>
      </c>
      <c r="D113" s="28" t="inlineStr">
        <is>
          <t>Edge</t>
        </is>
      </c>
      <c r="E113" s="28" t="inlineStr">
        <is>
          <t>Low</t>
        </is>
      </c>
      <c r="F113" s="28" t="inlineStr">
        <is>
          <t>UI</t>
        </is>
      </c>
      <c r="G113" s="28" t="inlineStr">
        <is>
          <t>Manual UI</t>
        </is>
      </c>
      <c r="H113" s="28" t="inlineStr">
        <is>
          <t>Extended</t>
        </is>
      </c>
      <c r="I113" s="4" t="inlineStr">
        <is>
          <t>A signup (or unconfirmed sign-in) has issued a code; the verify dialog is open; test inbox is reachable.</t>
        </is>
      </c>
      <c r="J113" s="4" t="inlineStr">
        <is>
          <t>1. Click Resend and immediately click again.</t>
        </is>
      </c>
      <c r="K113" s="4" t="inlineStr">
        <is>
          <t>—</t>
        </is>
      </c>
      <c r="L113" s="4" t="inlineStr">
        <is>
          <t>Button disabled with "Resending…"; only one email is sent.</t>
        </is>
      </c>
      <c r="M113" s="4" t="inlineStr">
        <is>
          <t>OTP-10</t>
        </is>
      </c>
      <c r="N113" s="4" t="inlineStr">
        <is>
          <t>OtpCodeForm.tsx:121-123</t>
        </is>
      </c>
      <c r="O113" s="28" t="inlineStr"/>
      <c r="P113" s="29" t="n"/>
      <c r="Q113" s="30" t="inlineStr">
        <is>
          <t>Not Run</t>
        </is>
      </c>
      <c r="R113" s="30" t="n"/>
      <c r="S113" s="31" t="n"/>
      <c r="T113" s="29" t="n"/>
    </row>
    <row r="114" ht="64" customHeight="1">
      <c r="A114" s="27" t="inlineStr">
        <is>
          <t>TC-OTP-023</t>
        </is>
      </c>
      <c r="B114" s="4" t="inlineStr">
        <is>
          <t>Email OTP verification</t>
        </is>
      </c>
      <c r="C114" s="4" t="inlineStr">
        <is>
          <t>Resend failure is reported</t>
        </is>
      </c>
      <c r="D114" s="28" t="inlineStr">
        <is>
          <t>Negative</t>
        </is>
      </c>
      <c r="E114" s="28" t="inlineStr">
        <is>
          <t>Medium</t>
        </is>
      </c>
      <c r="F114" s="28" t="inlineStr">
        <is>
          <t>API</t>
        </is>
      </c>
      <c r="G114" s="28" t="inlineStr">
        <is>
          <t>Stub (temp edit)</t>
        </is>
      </c>
      <c r="H114" s="28" t="inlineStr">
        <is>
          <t>Extended</t>
        </is>
      </c>
      <c r="I114" s="4" t="inlineStr">
        <is>
          <t>A signup (or unconfirmed sign-in) has issued a code; the verify dialog is open; test inbox is reachable.</t>
        </is>
      </c>
      <c r="J114" s="4" t="inlineStr">
        <is>
          <t>1. Stub the mail provider to fail.
2. Click Resend.</t>
        </is>
      </c>
      <c r="K114" s="4" t="inlineStr">
        <is>
          <t>stubbed failure</t>
        </is>
      </c>
      <c r="L114" s="4" t="inlineStr">
        <is>
          <t>A "Could not resend code" / signup error toast appears; cooldown still restarts; user can try again.</t>
        </is>
      </c>
      <c r="M114" s="4" t="inlineStr">
        <is>
          <t>OTP-11, REG-13</t>
        </is>
      </c>
      <c r="N114" s="4" t="inlineStr">
        <is>
          <t>useResendSignupOtp.ts; useSignUp.ts</t>
        </is>
      </c>
      <c r="O114" s="28" t="inlineStr"/>
      <c r="P114" s="29" t="n"/>
      <c r="Q114" s="30" t="inlineStr">
        <is>
          <t>Not Run</t>
        </is>
      </c>
      <c r="R114" s="30" t="n"/>
      <c r="S114" s="31" t="n"/>
      <c r="T114" s="29" t="n"/>
    </row>
    <row r="115" ht="64" customHeight="1">
      <c r="A115" s="27" t="inlineStr">
        <is>
          <t>TC-OTP-024</t>
        </is>
      </c>
      <c r="B115" s="4" t="inlineStr">
        <is>
          <t>Email OTP verification</t>
        </is>
      </c>
      <c r="C115" s="4" t="inlineStr">
        <is>
          <t>Verification network failure</t>
        </is>
      </c>
      <c r="D115" s="28" t="inlineStr">
        <is>
          <t>Edge</t>
        </is>
      </c>
      <c r="E115" s="28" t="inlineStr">
        <is>
          <t>Medium</t>
        </is>
      </c>
      <c r="F115" s="28" t="inlineStr">
        <is>
          <t>UI</t>
        </is>
      </c>
      <c r="G115" s="28" t="inlineStr">
        <is>
          <t>Manual UI</t>
        </is>
      </c>
      <c r="H115" s="28" t="inlineStr">
        <is>
          <t>Extended</t>
        </is>
      </c>
      <c r="I115" s="4" t="inlineStr">
        <is>
          <t>A signup (or unconfirmed sign-in) has issued a code; the verify dialog is open; test inbox is reachable.</t>
        </is>
      </c>
      <c r="J115" s="4" t="inlineStr">
        <is>
          <t>1. Go offline.
2. Submit a valid code.</t>
        </is>
      </c>
      <c r="K115" s="4" t="inlineStr">
        <is>
          <t>valid code</t>
        </is>
      </c>
      <c r="L115" s="4" t="inlineStr">
        <is>
          <t>Alert "We could not reach the account service. Please try again in a moment."; code retained; works after reconnecting.</t>
        </is>
      </c>
      <c r="M115" s="4" t="inlineStr">
        <is>
          <t>OTP-13</t>
        </is>
      </c>
      <c r="N115" s="4" t="inlineStr">
        <is>
          <t>RegisterForm.tsx:122-126</t>
        </is>
      </c>
      <c r="O115" s="28" t="inlineStr"/>
      <c r="P115" s="29" t="n"/>
      <c r="Q115" s="30" t="inlineStr">
        <is>
          <t>Not Run</t>
        </is>
      </c>
      <c r="R115" s="30" t="n"/>
      <c r="S115" s="31" t="n"/>
      <c r="T115" s="29" t="n"/>
    </row>
    <row r="116" ht="64" customHeight="1">
      <c r="A116" s="27" t="inlineStr">
        <is>
          <t>TC-OTP-025</t>
        </is>
      </c>
      <c r="B116" s="4" t="inlineStr">
        <is>
          <t>Email OTP verification</t>
        </is>
      </c>
      <c r="C116" s="4" t="inlineStr">
        <is>
          <t>Non-rejection verify error with empty message</t>
        </is>
      </c>
      <c r="D116" s="28" t="inlineStr">
        <is>
          <t>Edge</t>
        </is>
      </c>
      <c r="E116" s="28" t="inlineStr">
        <is>
          <t>Low</t>
        </is>
      </c>
      <c r="F116" s="28" t="inlineStr">
        <is>
          <t>API</t>
        </is>
      </c>
      <c r="G116" s="28" t="inlineStr">
        <is>
          <t>Stub (temp edit)</t>
        </is>
      </c>
      <c r="H116" s="28" t="inlineStr">
        <is>
          <t>Extended</t>
        </is>
      </c>
      <c r="I116" s="4" t="inlineStr">
        <is>
          <t>A signup (or unconfirmed sign-in) has issued a code; the verify dialog is open; test inbox is reachable.</t>
        </is>
      </c>
      <c r="J116" s="4" t="inlineStr">
        <is>
          <t>1. Stub verifyOtp to return an error with message "{}".</t>
        </is>
      </c>
      <c r="K116" s="4" t="inlineStr">
        <is>
          <t>stub</t>
        </is>
      </c>
      <c r="L116" s="4" t="inlineStr">
        <is>
          <t>User sees "An unexpected verification error occurred."</t>
        </is>
      </c>
      <c r="M116" s="4" t="inlineStr">
        <is>
          <t>OTP-13</t>
        </is>
      </c>
      <c r="N116" s="4" t="inlineStr">
        <is>
          <t>auth.mutations.ts › verifySignupOtpFn:367-374</t>
        </is>
      </c>
      <c r="O116" s="28" t="inlineStr"/>
      <c r="P116" s="29" t="n"/>
      <c r="Q116" s="30" t="inlineStr">
        <is>
          <t>Not Run</t>
        </is>
      </c>
      <c r="R116" s="30" t="n"/>
      <c r="S116" s="31" t="n"/>
      <c r="T116" s="29" t="n"/>
    </row>
    <row r="117" ht="79" customHeight="1">
      <c r="A117" s="27" t="inlineStr">
        <is>
          <t>TC-OTP-026</t>
        </is>
      </c>
      <c r="B117" s="4" t="inlineStr">
        <is>
          <t>Email OTP verification</t>
        </is>
      </c>
      <c r="C117" s="4" t="inlineStr">
        <is>
          <t>Repeated wrong codes</t>
        </is>
      </c>
      <c r="D117" s="28" t="inlineStr">
        <is>
          <t>Security</t>
        </is>
      </c>
      <c r="E117" s="28" t="inlineStr">
        <is>
          <t>Medium</t>
        </is>
      </c>
      <c r="F117" s="28" t="inlineStr">
        <is>
          <t>UI</t>
        </is>
      </c>
      <c r="G117" s="28" t="inlineStr">
        <is>
          <t>Exploratory</t>
        </is>
      </c>
      <c r="H117" s="28" t="inlineStr">
        <is>
          <t>Extended</t>
        </is>
      </c>
      <c r="I117" s="4" t="inlineStr">
        <is>
          <t>A signup (or unconfirmed sign-in) has issued a code; the verify dialog is open; test inbox is reachable.</t>
        </is>
      </c>
      <c r="J117" s="4" t="inlineStr">
        <is>
          <t>1. Submit 10+ wrong codes in a row.</t>
        </is>
      </c>
      <c r="K117" s="4" t="inlineStr">
        <is>
          <t>random 6-digit codes</t>
        </is>
      </c>
      <c r="L117" s="4" t="inlineStr">
        <is>
          <t>[Known issue F-08 - current code differs] Pass criteria: every attempt returns a consistent message, the account never becomes confirmed, and any platform rate-limit message is readable. Observation to record: how many attempts are allowed before a limit appears, and whether failed attempts are audited (they are not today).</t>
        </is>
      </c>
      <c r="M117" s="4" t="inlineStr">
        <is>
          <t>OTP-15</t>
        </is>
      </c>
      <c r="N117" s="4" t="inlineStr">
        <is>
          <t>auth.mutations.ts › verifySignupOtpFn</t>
        </is>
      </c>
      <c r="O117" s="28" t="inlineStr">
        <is>
          <t>F-08</t>
        </is>
      </c>
      <c r="P117" s="29" t="n"/>
      <c r="Q117" s="30" t="inlineStr">
        <is>
          <t>Not Run</t>
        </is>
      </c>
      <c r="R117" s="30" t="n"/>
      <c r="S117" s="31" t="n"/>
      <c r="T117" s="29" t="n"/>
    </row>
    <row r="118" ht="64" customHeight="1">
      <c r="A118" s="27" t="inlineStr">
        <is>
          <t>TC-OTP-027</t>
        </is>
      </c>
      <c r="B118" s="4" t="inlineStr">
        <is>
          <t>Email OTP verification</t>
        </is>
      </c>
      <c r="C118" s="4" t="inlineStr">
        <is>
          <t>Issued codes are stored only as keyed hashes</t>
        </is>
      </c>
      <c r="D118" s="28" t="inlineStr">
        <is>
          <t>Security</t>
        </is>
      </c>
      <c r="E118" s="28" t="inlineStr">
        <is>
          <t>High</t>
        </is>
      </c>
      <c r="F118" s="28" t="inlineStr">
        <is>
          <t>DB</t>
        </is>
      </c>
      <c r="G118" s="28" t="inlineStr">
        <is>
          <t>Manual + DB</t>
        </is>
      </c>
      <c r="H118" s="28" t="inlineStr">
        <is>
          <t>Core</t>
        </is>
      </c>
      <c r="I118" s="4" t="inlineStr">
        <is>
          <t>A signup (or unconfirmed sign-in) has issued a code; the verify dialog is open; test inbox is reachable.</t>
        </is>
      </c>
      <c r="J118" s="4" t="inlineStr">
        <is>
          <t>1. Register and request a code.
2. Query auth_otp_codes.</t>
        </is>
      </c>
      <c r="K118" s="4" t="inlineStr">
        <is>
          <t>—</t>
        </is>
      </c>
      <c r="L118" s="4" t="inlineStr">
        <is>
          <t>Rows hold a 64-char hex HMAC in code_hash, never the digits; email stored lower-cased.</t>
        </is>
      </c>
      <c r="M118" s="4" t="inlineStr">
        <is>
          <t>OTP-12</t>
        </is>
      </c>
      <c r="N118" s="4" t="inlineStr">
        <is>
          <t>otp-codes.server.ts:14-34</t>
        </is>
      </c>
      <c r="O118" s="28" t="inlineStr"/>
      <c r="P118" s="29" t="n"/>
      <c r="Q118" s="30" t="inlineStr">
        <is>
          <t>Not Run</t>
        </is>
      </c>
      <c r="R118" s="30" t="n"/>
      <c r="S118" s="31" t="n"/>
      <c r="T118" s="29" t="n"/>
    </row>
    <row r="119" ht="34" customHeight="1">
      <c r="A119" s="27" t="inlineStr">
        <is>
          <t>TC-OTP-028</t>
        </is>
      </c>
      <c r="B119" s="4" t="inlineStr">
        <is>
          <t>Email OTP verification</t>
        </is>
      </c>
      <c r="C119" s="4" t="inlineStr">
        <is>
          <t>auth_otp_codes is inaccessible to client roles</t>
        </is>
      </c>
      <c r="D119" s="28" t="inlineStr">
        <is>
          <t>Security</t>
        </is>
      </c>
      <c r="E119" s="28" t="inlineStr">
        <is>
          <t>High</t>
        </is>
      </c>
      <c r="F119" s="28" t="inlineStr">
        <is>
          <t>DB</t>
        </is>
      </c>
      <c r="G119" s="28" t="inlineStr">
        <is>
          <t>Manual + DB</t>
        </is>
      </c>
      <c r="H119" s="28" t="inlineStr">
        <is>
          <t>Core</t>
        </is>
      </c>
      <c r="I119" s="4" t="inlineStr">
        <is>
          <t>App running and reachable; tester is signed out.</t>
        </is>
      </c>
      <c r="J119" s="4" t="inlineStr">
        <is>
          <t>1. With the anon key and with a signed-in user's JWT, SELECT/INSERT/DELETE on auth_otp_codes.</t>
        </is>
      </c>
      <c r="K119" s="4" t="inlineStr">
        <is>
          <t>anon / authenticated tokens</t>
        </is>
      </c>
      <c r="L119" s="4" t="inlineStr">
        <is>
          <t>Permission denied for every operation (RLS on, privileges revoked); only service_role can access.</t>
        </is>
      </c>
      <c r="M119" s="4" t="inlineStr">
        <is>
          <t>OTP-12</t>
        </is>
      </c>
      <c r="N119" s="4" t="inlineStr">
        <is>
          <t>migration 20261002140000_add_auth_otp_codes.sql</t>
        </is>
      </c>
      <c r="O119" s="28" t="inlineStr"/>
      <c r="P119" s="29" t="n"/>
      <c r="Q119" s="30" t="inlineStr">
        <is>
          <t>Not Run</t>
        </is>
      </c>
      <c r="R119" s="30" t="n"/>
      <c r="S119" s="31" t="n"/>
      <c r="T119" s="29" t="n"/>
    </row>
    <row r="120" ht="64" customHeight="1">
      <c r="A120" s="27" t="inlineStr">
        <is>
          <t>TC-OTP-029</t>
        </is>
      </c>
      <c r="B120" s="4" t="inlineStr">
        <is>
          <t>Email OTP verification</t>
        </is>
      </c>
      <c r="C120" s="4" t="inlineStr">
        <is>
          <t>Cleanup after successful verification</t>
        </is>
      </c>
      <c r="D120" s="28" t="inlineStr">
        <is>
          <t>Positive</t>
        </is>
      </c>
      <c r="E120" s="28" t="inlineStr">
        <is>
          <t>Medium</t>
        </is>
      </c>
      <c r="F120" s="28" t="inlineStr">
        <is>
          <t>DB</t>
        </is>
      </c>
      <c r="G120" s="28" t="inlineStr">
        <is>
          <t>Manual + DB</t>
        </is>
      </c>
      <c r="H120" s="28" t="inlineStr">
        <is>
          <t>Extended</t>
        </is>
      </c>
      <c r="I120" s="4" t="inlineStr">
        <is>
          <t>A signup (or unconfirmed sign-in) has issued a code; the verify dialog is open; test inbox is reachable.</t>
        </is>
      </c>
      <c r="J120" s="4" t="inlineStr">
        <is>
          <t>1. Verify a signup code.
2. Query auth_otp_codes for that email and purpose.</t>
        </is>
      </c>
      <c r="K120" s="4" t="inlineStr">
        <is>
          <t>—</t>
        </is>
      </c>
      <c r="L120" s="4" t="inlineStr">
        <is>
          <t>All rows for (email, signup) are deleted; rows for (email, recovery) are untouched.</t>
        </is>
      </c>
      <c r="M120" s="4" t="inlineStr">
        <is>
          <t>OTP-12</t>
        </is>
      </c>
      <c r="N120" s="4" t="inlineStr">
        <is>
          <t>otp-codes.server.ts:37-43</t>
        </is>
      </c>
      <c r="O120" s="28" t="inlineStr"/>
      <c r="P120" s="29" t="n"/>
      <c r="Q120" s="30" t="inlineStr">
        <is>
          <t>Not Run</t>
        </is>
      </c>
      <c r="R120" s="30" t="n"/>
      <c r="S120" s="31" t="n"/>
      <c r="T120" s="29" t="n"/>
    </row>
    <row r="121" ht="64" customHeight="1">
      <c r="A121" s="27" t="inlineStr">
        <is>
          <t>TC-OTP-030</t>
        </is>
      </c>
      <c r="B121" s="4" t="inlineStr">
        <is>
          <t>Email OTP verification</t>
        </is>
      </c>
      <c r="C121" s="4" t="inlineStr">
        <is>
          <t>Supabase OTP expiry matches the 1-hour promise</t>
        </is>
      </c>
      <c r="D121" s="28" t="inlineStr">
        <is>
          <t>Edge</t>
        </is>
      </c>
      <c r="E121" s="28" t="inlineStr">
        <is>
          <t>Medium</t>
        </is>
      </c>
      <c r="F121" s="28" t="inlineStr">
        <is>
          <t>Config</t>
        </is>
      </c>
      <c r="G121" s="28" t="inlineStr">
        <is>
          <t>Config check</t>
        </is>
      </c>
      <c r="H121" s="28" t="inlineStr">
        <is>
          <t>Extended</t>
        </is>
      </c>
      <c r="I121" s="4" t="inlineStr">
        <is>
          <t>App running and reachable; tester is signed out.</t>
        </is>
      </c>
      <c r="J121" s="4" t="inlineStr">
        <is>
          <t>1. Check Authentication → Email OTP Expiration in Supabase.
2. Request a code and use it after 59 min and after 61 min.</t>
        </is>
      </c>
      <c r="K121" s="4" t="inlineStr">
        <is>
          <t>—</t>
        </is>
      </c>
      <c r="L121" s="4" t="inlineStr">
        <is>
          <t>[Known issue F-13 - current code differs] Setting is 3600 s. If shorter, a genuinely expired newest code would be reported as "old code" - confirm the message is accurate.</t>
        </is>
      </c>
      <c r="M121" s="4" t="inlineStr">
        <is>
          <t>OTP-19, OTP-07</t>
        </is>
      </c>
      <c r="N121" s="4" t="inlineStr">
        <is>
          <t>otp-codes.server.ts:7; email notes</t>
        </is>
      </c>
      <c r="O121" s="28" t="inlineStr">
        <is>
          <t>F-13</t>
        </is>
      </c>
      <c r="P121" s="29" t="n"/>
      <c r="Q121" s="30" t="inlineStr">
        <is>
          <t>Not Run</t>
        </is>
      </c>
      <c r="R121" s="30" t="n"/>
      <c r="S121" s="31" t="n"/>
      <c r="T121" s="29" t="n"/>
    </row>
    <row r="122" ht="34" customHeight="1">
      <c r="A122" s="27" t="inlineStr">
        <is>
          <t>TC-OTP-031</t>
        </is>
      </c>
      <c r="B122" s="4" t="inlineStr">
        <is>
          <t>Email OTP verification</t>
        </is>
      </c>
      <c r="C122" s="4" t="inlineStr">
        <is>
          <t>Resend-from-login requires the correct password</t>
        </is>
      </c>
      <c r="D122" s="28" t="inlineStr">
        <is>
          <t>Security</t>
        </is>
      </c>
      <c r="E122" s="28" t="inlineStr">
        <is>
          <t>High</t>
        </is>
      </c>
      <c r="F122" s="28" t="inlineStr">
        <is>
          <t>API</t>
        </is>
      </c>
      <c r="G122" s="28" t="inlineStr">
        <is>
          <t>Direct API call</t>
        </is>
      </c>
      <c r="H122" s="28" t="inlineStr">
        <is>
          <t>Core</t>
        </is>
      </c>
      <c r="I122" s="4" t="inlineStr">
        <is>
          <t>[ACC-02] unconfirmed.</t>
        </is>
      </c>
      <c r="J122" s="4" t="inlineStr">
        <is>
          <t>1. Call resendSignupOtpFn with an unconfirmed email and a password of the caller's choosing.</t>
        </is>
      </c>
      <c r="K122" s="4" t="inlineStr">
        <is>
          <t>[ACC-02] email, attacker password</t>
        </is>
      </c>
      <c r="L122" s="4" t="inlineStr">
        <is>
          <t>Returns "Invalid email or password." without deleting or recreating the account (prevents account takeover).</t>
        </is>
      </c>
      <c r="M122" s="4" t="inlineStr">
        <is>
          <t>OTP-17</t>
        </is>
      </c>
      <c r="N122" s="4" t="inlineStr">
        <is>
          <t>resendSignupOtpFn:277-293</t>
        </is>
      </c>
      <c r="O122" s="28" t="inlineStr"/>
      <c r="P122" s="29" t="n"/>
      <c r="Q122" s="30" t="inlineStr">
        <is>
          <t>Not Run</t>
        </is>
      </c>
      <c r="R122" s="30" t="n"/>
      <c r="S122" s="31" t="n"/>
      <c r="T122" s="29" t="n"/>
    </row>
    <row r="123" ht="34" customHeight="1">
      <c r="A123" s="27" t="inlineStr">
        <is>
          <t>TC-OTP-032</t>
        </is>
      </c>
      <c r="B123" s="4" t="inlineStr">
        <is>
          <t>Email OTP verification</t>
        </is>
      </c>
      <c r="C123" s="4" t="inlineStr">
        <is>
          <t>Resend-from-login for a confirmed account</t>
        </is>
      </c>
      <c r="D123" s="28" t="inlineStr">
        <is>
          <t>Negative</t>
        </is>
      </c>
      <c r="E123" s="28" t="inlineStr">
        <is>
          <t>Medium</t>
        </is>
      </c>
      <c r="F123" s="28" t="inlineStr">
        <is>
          <t>API</t>
        </is>
      </c>
      <c r="G123" s="28" t="inlineStr">
        <is>
          <t>Direct API call</t>
        </is>
      </c>
      <c r="H123" s="28" t="inlineStr">
        <is>
          <t>Extended</t>
        </is>
      </c>
      <c r="I123" s="4" t="inlineStr">
        <is>
          <t>App running and reachable; tester is signed out.</t>
        </is>
      </c>
      <c r="J123" s="4" t="inlineStr">
        <is>
          <t>1. Call resendSignupOtpFn with a confirmed account's email and correct password.</t>
        </is>
      </c>
      <c r="K123" s="4" t="inlineStr">
        <is>
          <t>[ACC-01]</t>
        </is>
      </c>
      <c r="L123" s="4" t="inlineStr">
        <is>
          <t>Returns "Invalid email or password." (the sign-in succeeds, so no 'email not confirmed' error); nothing is deleted.</t>
        </is>
      </c>
      <c r="M123" s="4" t="inlineStr">
        <is>
          <t>OTP-18</t>
        </is>
      </c>
      <c r="N123" s="4" t="inlineStr">
        <is>
          <t>resendSignupOtpFn:288-293</t>
        </is>
      </c>
      <c r="O123" s="28" t="inlineStr"/>
      <c r="P123" s="29" t="n"/>
      <c r="Q123" s="30" t="inlineStr">
        <is>
          <t>Not Run</t>
        </is>
      </c>
      <c r="R123" s="30" t="n"/>
      <c r="S123" s="31" t="n"/>
      <c r="T123" s="29" t="n"/>
    </row>
    <row r="124" ht="34" customHeight="1">
      <c r="A124" s="27" t="inlineStr">
        <is>
          <t>TC-OTP-033</t>
        </is>
      </c>
      <c r="B124" s="4" t="inlineStr">
        <is>
          <t>Email OTP verification</t>
        </is>
      </c>
      <c r="C124" s="4" t="inlineStr">
        <is>
          <t>Resend-from-login for an unknown email</t>
        </is>
      </c>
      <c r="D124" s="28" t="inlineStr">
        <is>
          <t>Negative</t>
        </is>
      </c>
      <c r="E124" s="28" t="inlineStr">
        <is>
          <t>Low</t>
        </is>
      </c>
      <c r="F124" s="28" t="inlineStr">
        <is>
          <t>API</t>
        </is>
      </c>
      <c r="G124" s="28" t="inlineStr">
        <is>
          <t>Direct API call</t>
        </is>
      </c>
      <c r="H124" s="28" t="inlineStr">
        <is>
          <t>Extended</t>
        </is>
      </c>
      <c r="I124" s="4" t="inlineStr">
        <is>
          <t>App running and reachable; tester is signed out.</t>
        </is>
      </c>
      <c r="J124" s="4" t="inlineStr">
        <is>
          <t>1. Call resendSignupOtpFn with an unregistered email.</t>
        </is>
      </c>
      <c r="K124" s="4" t="inlineStr">
        <is>
          <t>nobody@&lt;domain&gt;</t>
        </is>
      </c>
      <c r="L124" s="4" t="inlineStr">
        <is>
          <t>Returns "Invalid email or password."</t>
        </is>
      </c>
      <c r="M124" s="4" t="inlineStr">
        <is>
          <t>OTP-18</t>
        </is>
      </c>
      <c r="N124" s="4" t="inlineStr">
        <is>
          <t>resendSignupOtpFn:288-293</t>
        </is>
      </c>
      <c r="O124" s="28" t="inlineStr"/>
      <c r="P124" s="29" t="n"/>
      <c r="Q124" s="30" t="inlineStr">
        <is>
          <t>Not Run</t>
        </is>
      </c>
      <c r="R124" s="30" t="n"/>
      <c r="S124" s="31" t="n"/>
      <c r="T124" s="29" t="n"/>
    </row>
    <row r="125" ht="64" customHeight="1">
      <c r="A125" s="27" t="inlineStr">
        <is>
          <t>TC-OTP-034</t>
        </is>
      </c>
      <c r="B125" s="4" t="inlineStr">
        <is>
          <t>Email OTP verification</t>
        </is>
      </c>
      <c r="C125" s="4" t="inlineStr">
        <is>
          <t>Resend-from-login preserves name metadata</t>
        </is>
      </c>
      <c r="D125" s="28" t="inlineStr">
        <is>
          <t>Positive</t>
        </is>
      </c>
      <c r="E125" s="28" t="inlineStr">
        <is>
          <t>Medium</t>
        </is>
      </c>
      <c r="F125" s="28" t="inlineStr">
        <is>
          <t>DB</t>
        </is>
      </c>
      <c r="G125" s="28" t="inlineStr">
        <is>
          <t>Manual + DB</t>
        </is>
      </c>
      <c r="H125" s="28" t="inlineStr">
        <is>
          <t>Extended</t>
        </is>
      </c>
      <c r="I125" s="4" t="inlineStr">
        <is>
          <t>Unconfirmed account with a middle name.</t>
        </is>
      </c>
      <c r="J125" s="4" t="inlineStr">
        <is>
          <t>1. Register with first/last/middle name, do not confirm.
2. Trigger the login resend.
3. Confirm and open the profile.</t>
        </is>
      </c>
      <c r="K125" s="4" t="inlineStr">
        <is>
          <t>unconfirmed account with middle name</t>
        </is>
      </c>
      <c r="L125" s="4" t="inlineStr">
        <is>
          <t>First, middle and last names survive the delete-and-recreate; profile.middle_name is restored.</t>
        </is>
      </c>
      <c r="M125" s="4" t="inlineStr">
        <is>
          <t>OTP-18</t>
        </is>
      </c>
      <c r="N125" s="4" t="inlineStr">
        <is>
          <t>resendSignupOtpFn:307-339</t>
        </is>
      </c>
      <c r="O125" s="28" t="inlineStr"/>
      <c r="P125" s="29" t="n"/>
      <c r="Q125" s="30" t="inlineStr">
        <is>
          <t>Not Run</t>
        </is>
      </c>
      <c r="R125" s="30" t="n"/>
      <c r="S125" s="31" t="n"/>
      <c r="T125" s="29" t="n"/>
    </row>
    <row r="126" ht="34" customHeight="1">
      <c r="A126" s="27" t="inlineStr">
        <is>
          <t>TC-OTP-035</t>
        </is>
      </c>
      <c r="B126" s="4" t="inlineStr">
        <is>
          <t>Email OTP verification</t>
        </is>
      </c>
      <c r="C126" s="4" t="inlineStr">
        <is>
          <t>Dismissing the dialog from the sign-in page</t>
        </is>
      </c>
      <c r="D126" s="28" t="inlineStr">
        <is>
          <t>Positive</t>
        </is>
      </c>
      <c r="E126" s="28" t="inlineStr">
        <is>
          <t>Low</t>
        </is>
      </c>
      <c r="F126" s="28" t="inlineStr">
        <is>
          <t>UI</t>
        </is>
      </c>
      <c r="G126" s="28" t="inlineStr">
        <is>
          <t>Manual UI</t>
        </is>
      </c>
      <c r="H126" s="28" t="inlineStr">
        <is>
          <t>Extended</t>
        </is>
      </c>
      <c r="I126" s="4" t="inlineStr">
        <is>
          <t>[ACC-02] unconfirmed.</t>
        </is>
      </c>
      <c r="J126" s="4" t="inlineStr">
        <is>
          <t>1. Open the dialog from an unconfirmed sign-in.
2. Click "Wrong account? Try again".</t>
        </is>
      </c>
      <c r="K126" s="4" t="inlineStr">
        <is>
          <t>—</t>
        </is>
      </c>
      <c r="L126" s="4" t="inlineStr">
        <is>
          <t>Dialog closes; login form is usable; no further email is sent.</t>
        </is>
      </c>
      <c r="M126" s="4" t="inlineStr">
        <is>
          <t>OTP-18, LGN-06</t>
        </is>
      </c>
      <c r="N126" s="4" t="inlineStr">
        <is>
          <t>LoginForm.tsx:150-151</t>
        </is>
      </c>
      <c r="O126" s="28" t="inlineStr"/>
      <c r="P126" s="29" t="n"/>
      <c r="Q126" s="30" t="inlineStr">
        <is>
          <t>Not Run</t>
        </is>
      </c>
      <c r="R126" s="30" t="n"/>
      <c r="S126" s="31" t="n"/>
      <c r="T126" s="29" t="n"/>
    </row>
    <row r="127" ht="49" customHeight="1">
      <c r="A127" s="27" t="inlineStr">
        <is>
          <t>TC-EML-001</t>
        </is>
      </c>
      <c r="B127" s="4" t="inlineStr">
        <is>
          <t>Auth emails</t>
        </is>
      </c>
      <c r="C127" s="4" t="inlineStr">
        <is>
          <t>Signup email content</t>
        </is>
      </c>
      <c r="D127" s="28" t="inlineStr">
        <is>
          <t>Positive</t>
        </is>
      </c>
      <c r="E127" s="28" t="inlineStr">
        <is>
          <t>Medium</t>
        </is>
      </c>
      <c r="F127" s="28" t="inlineStr">
        <is>
          <t>UI</t>
        </is>
      </c>
      <c r="G127" s="28" t="inlineStr">
        <is>
          <t>Manual UI</t>
        </is>
      </c>
      <c r="H127" s="28" t="inlineStr">
        <is>
          <t>Extended</t>
        </is>
      </c>
      <c r="I127" s="4" t="inlineStr">
        <is>
          <t>Test inbox is reachable.</t>
        </is>
      </c>
      <c r="J127" s="4" t="inlineStr">
        <is>
          <t>1. Register an account.
2. Open the email.</t>
        </is>
      </c>
      <c r="K127" s="4" t="inlineStr">
        <is>
          <t>—</t>
        </is>
      </c>
      <c r="L127" s="4" t="inlineStr">
        <is>
          <t>Subject "Confirm your CiviCheck account"; greeting uses the first name; the code is shown; notes say it expires in 1 hour and can be used once; footer says to ignore if not requested.</t>
        </is>
      </c>
      <c r="M127" s="4" t="inlineStr">
        <is>
          <t>EML-02</t>
        </is>
      </c>
      <c r="N127" s="4" t="inlineStr">
        <is>
          <t>auth.mutations.ts:64-84</t>
        </is>
      </c>
      <c r="O127" s="28" t="inlineStr"/>
      <c r="P127" s="29" t="n"/>
      <c r="Q127" s="30" t="inlineStr">
        <is>
          <t>Not Run</t>
        </is>
      </c>
      <c r="R127" s="30" t="n"/>
      <c r="S127" s="31" t="n"/>
      <c r="T127" s="29" t="n"/>
    </row>
    <row r="128" ht="49" customHeight="1">
      <c r="A128" s="27" t="inlineStr">
        <is>
          <t>TC-EML-002</t>
        </is>
      </c>
      <c r="B128" s="4" t="inlineStr">
        <is>
          <t>Auth emails</t>
        </is>
      </c>
      <c r="C128" s="4" t="inlineStr">
        <is>
          <t>Password-reset email content</t>
        </is>
      </c>
      <c r="D128" s="28" t="inlineStr">
        <is>
          <t>Positive</t>
        </is>
      </c>
      <c r="E128" s="28" t="inlineStr">
        <is>
          <t>Medium</t>
        </is>
      </c>
      <c r="F128" s="28" t="inlineStr">
        <is>
          <t>UI</t>
        </is>
      </c>
      <c r="G128" s="28" t="inlineStr">
        <is>
          <t>Manual UI</t>
        </is>
      </c>
      <c r="H128" s="28" t="inlineStr">
        <is>
          <t>Extended</t>
        </is>
      </c>
      <c r="I128" s="4" t="inlineStr">
        <is>
          <t>Test inbox is reachable.</t>
        </is>
      </c>
      <c r="J128" s="4" t="inlineStr">
        <is>
          <t>1. Request a reset for [ACC-01].
2. Open the email.</t>
        </is>
      </c>
      <c r="K128" s="4" t="inlineStr">
        <is>
          <t>[ACC-01]</t>
        </is>
      </c>
      <c r="L128" s="4" t="inlineStr">
        <is>
          <t>Subject "Reset your CiviCheck password"; contains the code and the 1-hour/one-use note; says the password is unchanged if not requested.</t>
        </is>
      </c>
      <c r="M128" s="4" t="inlineStr">
        <is>
          <t>EML-03</t>
        </is>
      </c>
      <c r="N128" s="4" t="inlineStr">
        <is>
          <t>auth.mutations.ts:457-472</t>
        </is>
      </c>
      <c r="O128" s="28" t="inlineStr"/>
      <c r="P128" s="29" t="n"/>
      <c r="Q128" s="30" t="inlineStr">
        <is>
          <t>Not Run</t>
        </is>
      </c>
      <c r="R128" s="30" t="n"/>
      <c r="S128" s="31" t="n"/>
      <c r="T128" s="29" t="n"/>
    </row>
    <row r="129" ht="49" customHeight="1">
      <c r="A129" s="27" t="inlineStr">
        <is>
          <t>TC-EML-003</t>
        </is>
      </c>
      <c r="B129" s="4" t="inlineStr">
        <is>
          <t>Auth emails</t>
        </is>
      </c>
      <c r="C129" s="4" t="inlineStr">
        <is>
          <t>HTML in the first name is escaped in the email</t>
        </is>
      </c>
      <c r="D129" s="28" t="inlineStr">
        <is>
          <t>Security</t>
        </is>
      </c>
      <c r="E129" s="28" t="inlineStr">
        <is>
          <t>High</t>
        </is>
      </c>
      <c r="F129" s="28" t="inlineStr">
        <is>
          <t>UI</t>
        </is>
      </c>
      <c r="G129" s="28" t="inlineStr">
        <is>
          <t>Manual UI</t>
        </is>
      </c>
      <c r="H129" s="28" t="inlineStr">
        <is>
          <t>Core</t>
        </is>
      </c>
      <c r="I129" s="4" t="inlineStr">
        <is>
          <t>Test inbox is reachable.</t>
        </is>
      </c>
      <c r="J129" s="4" t="inlineStr">
        <is>
          <t>1. Register with first name "&lt;b&gt;x&lt;/b&gt;&lt;img src=x onerror=alert(1)&gt;".
2. View the email source and rendering.</t>
        </is>
      </c>
      <c r="K129" s="4" t="inlineStr">
        <is>
          <t>payload in first name</t>
        </is>
      </c>
      <c r="L129" s="4" t="inlineStr">
        <is>
          <t>Rendered as literal text in the greeting; no tag is injected.</t>
        </is>
      </c>
      <c r="M129" s="4" t="inlineStr">
        <is>
          <t>EML-01, REG-16</t>
        </is>
      </c>
      <c r="N129" s="4" t="inlineStr">
        <is>
          <t>utils/email-template.ts:22-27,53-56</t>
        </is>
      </c>
      <c r="O129" s="28" t="inlineStr"/>
      <c r="P129" s="29" t="n"/>
      <c r="Q129" s="30" t="inlineStr">
        <is>
          <t>Not Run</t>
        </is>
      </c>
      <c r="R129" s="30" t="n"/>
      <c r="S129" s="31" t="n"/>
      <c r="T129" s="29" t="n"/>
    </row>
    <row r="130" ht="49" customHeight="1">
      <c r="A130" s="27" t="inlineStr">
        <is>
          <t>TC-FPW-001</t>
        </is>
      </c>
      <c r="B130" s="4" t="inlineStr">
        <is>
          <t>Forgot password</t>
        </is>
      </c>
      <c r="C130" s="4" t="inlineStr">
        <is>
          <t>Registered email receives a reset code</t>
        </is>
      </c>
      <c r="D130" s="28" t="inlineStr">
        <is>
          <t>Positive</t>
        </is>
      </c>
      <c r="E130" s="28" t="inlineStr">
        <is>
          <t>High</t>
        </is>
      </c>
      <c r="F130" s="28" t="inlineStr">
        <is>
          <t>UI</t>
        </is>
      </c>
      <c r="G130" s="28" t="inlineStr">
        <is>
          <t>Manual UI</t>
        </is>
      </c>
      <c r="H130" s="28" t="inlineStr">
        <is>
          <t>Smoke</t>
        </is>
      </c>
      <c r="I130" s="4" t="inlineStr">
        <is>
          <t>App running and reachable; tester is signed out.</t>
        </is>
      </c>
      <c r="J130" s="4" t="inlineStr">
        <is>
          <t>1. Open /forgot-password.
2. Enter the email.
3. Click Send reset code.</t>
        </is>
      </c>
      <c r="K130" s="4" t="inlineStr">
        <is>
          <t>[ACC-01]</t>
        </is>
      </c>
      <c r="L130" s="4" t="inlineStr">
        <is>
          <t>Success toast; screen changes to "Check your email" with the code field; reset email arrives; an auth_otp_codes row (recovery) is written.</t>
        </is>
      </c>
      <c r="M130" s="4" t="inlineStr">
        <is>
          <t>FPW-02, EML-03</t>
        </is>
      </c>
      <c r="N130" s="4" t="inlineStr">
        <is>
          <t>ForgotPasswordForm.tsx; auth.mutations.ts › forgotPasswordFn</t>
        </is>
      </c>
      <c r="O130" s="28" t="inlineStr"/>
      <c r="P130" s="29" t="n"/>
      <c r="Q130" s="30" t="inlineStr">
        <is>
          <t>Not Run</t>
        </is>
      </c>
      <c r="R130" s="30" t="n"/>
      <c r="S130" s="31" t="n"/>
      <c r="T130" s="29" t="n"/>
    </row>
    <row r="131" ht="34" customHeight="1">
      <c r="A131" s="27" t="inlineStr">
        <is>
          <t>TC-FPW-002</t>
        </is>
      </c>
      <c r="B131" s="4" t="inlineStr">
        <is>
          <t>Forgot password</t>
        </is>
      </c>
      <c r="C131" s="4" t="inlineStr">
        <is>
          <t>Unregistered email gets an identical response</t>
        </is>
      </c>
      <c r="D131" s="28" t="inlineStr">
        <is>
          <t>Security</t>
        </is>
      </c>
      <c r="E131" s="28" t="inlineStr">
        <is>
          <t>High</t>
        </is>
      </c>
      <c r="F131" s="28" t="inlineStr">
        <is>
          <t>UI</t>
        </is>
      </c>
      <c r="G131" s="28" t="inlineStr">
        <is>
          <t>Manual UI</t>
        </is>
      </c>
      <c r="H131" s="28" t="inlineStr">
        <is>
          <t>Smoke</t>
        </is>
      </c>
      <c r="I131" s="4" t="inlineStr">
        <is>
          <t>App running and reachable; tester is signed out.</t>
        </is>
      </c>
      <c r="J131" s="4" t="inlineStr">
        <is>
          <t>1. Submit an unregistered email.</t>
        </is>
      </c>
      <c r="K131" s="4" t="inlineStr">
        <is>
          <t>nobody@&lt;domain&gt;</t>
        </is>
      </c>
      <c r="L131" s="4" t="inlineStr">
        <is>
          <t>Same success toast and code-entry screen; no email is sent; response time is comparable to a real account (no enumeration).</t>
        </is>
      </c>
      <c r="M131" s="4" t="inlineStr">
        <is>
          <t>FPW-03</t>
        </is>
      </c>
      <c r="N131" s="4" t="inlineStr">
        <is>
          <t>auth.mutations.ts › forgotPasswordFn:427-435</t>
        </is>
      </c>
      <c r="O131" s="28" t="inlineStr"/>
      <c r="P131" s="29" t="n"/>
      <c r="Q131" s="30" t="inlineStr">
        <is>
          <t>Not Run</t>
        </is>
      </c>
      <c r="R131" s="30" t="n"/>
      <c r="S131" s="31" t="n"/>
      <c r="T131" s="29" t="n"/>
    </row>
    <row r="132" ht="34" customHeight="1">
      <c r="A132" s="27" t="inlineStr">
        <is>
          <t>TC-FPW-003</t>
        </is>
      </c>
      <c r="B132" s="4" t="inlineStr">
        <is>
          <t>Forgot password</t>
        </is>
      </c>
      <c r="C132" s="4" t="inlineStr">
        <is>
          <t>Empty email</t>
        </is>
      </c>
      <c r="D132" s="28" t="inlineStr">
        <is>
          <t>Negative</t>
        </is>
      </c>
      <c r="E132" s="28" t="inlineStr">
        <is>
          <t>High</t>
        </is>
      </c>
      <c r="F132" s="28" t="inlineStr">
        <is>
          <t>UI</t>
        </is>
      </c>
      <c r="G132" s="28" t="inlineStr">
        <is>
          <t>Manual UI</t>
        </is>
      </c>
      <c r="H132" s="28" t="inlineStr">
        <is>
          <t>Core</t>
        </is>
      </c>
      <c r="I132" s="4" t="inlineStr">
        <is>
          <t>App running and reachable; tester is signed out.</t>
        </is>
      </c>
      <c r="J132" s="4" t="inlineStr">
        <is>
          <t>1. Click Send reset code with nothing entered.</t>
        </is>
      </c>
      <c r="K132" s="4" t="inlineStr">
        <is>
          <t>""</t>
        </is>
      </c>
      <c r="L132" s="4" t="inlineStr">
        <is>
          <t>"Please enter a valid email address"; no request.</t>
        </is>
      </c>
      <c r="M132" s="4" t="inlineStr">
        <is>
          <t>FPW-01</t>
        </is>
      </c>
      <c r="N132" s="4" t="inlineStr">
        <is>
          <t>ForgotPasswordForm.tsx:34</t>
        </is>
      </c>
      <c r="O132" s="28" t="inlineStr"/>
      <c r="P132" s="29" t="n"/>
      <c r="Q132" s="30" t="inlineStr">
        <is>
          <t>Not Run</t>
        </is>
      </c>
      <c r="R132" s="30" t="n"/>
      <c r="S132" s="31" t="n"/>
      <c r="T132" s="29" t="n"/>
    </row>
    <row r="133" ht="49" customHeight="1">
      <c r="A133" s="27" t="inlineStr">
        <is>
          <t>TC-FPW-004</t>
        </is>
      </c>
      <c r="B133" s="4" t="inlineStr">
        <is>
          <t>Forgot password</t>
        </is>
      </c>
      <c r="C133" s="4" t="inlineStr">
        <is>
          <t>Malformed emails</t>
        </is>
      </c>
      <c r="D133" s="28" t="inlineStr">
        <is>
          <t>Negative</t>
        </is>
      </c>
      <c r="E133" s="28" t="inlineStr">
        <is>
          <t>High</t>
        </is>
      </c>
      <c r="F133" s="28" t="inlineStr">
        <is>
          <t>UI</t>
        </is>
      </c>
      <c r="G133" s="28" t="inlineStr">
        <is>
          <t>Manual UI</t>
        </is>
      </c>
      <c r="H133" s="28" t="inlineStr">
        <is>
          <t>Core</t>
        </is>
      </c>
      <c r="I133" s="4" t="inlineStr">
        <is>
          <t>App running and reachable; tester is signed out.</t>
        </is>
      </c>
      <c r="J133" s="4" t="inlineStr">
        <is>
          <t>1. Submit each value.</t>
        </is>
      </c>
      <c r="K133" s="4" t="inlineStr">
        <is>
          <t>plainaddress | user@ | @domain.com | user@@domain.com | user name@domain.com</t>
        </is>
      </c>
      <c r="L133" s="4" t="inlineStr">
        <is>
          <t>Validation error each time; no request.</t>
        </is>
      </c>
      <c r="M133" s="4" t="inlineStr">
        <is>
          <t>FPW-01</t>
        </is>
      </c>
      <c r="N133" s="4" t="inlineStr">
        <is>
          <t>ForgotPasswordForm.tsx</t>
        </is>
      </c>
      <c r="O133" s="28" t="inlineStr"/>
      <c r="P133" s="29" t="n"/>
      <c r="Q133" s="30" t="inlineStr">
        <is>
          <t>Not Run</t>
        </is>
      </c>
      <c r="R133" s="30" t="n"/>
      <c r="S133" s="31" t="n"/>
      <c r="T133" s="29" t="n"/>
    </row>
    <row r="134" ht="34" customHeight="1">
      <c r="A134" s="27" t="inlineStr">
        <is>
          <t>TC-FPW-005</t>
        </is>
      </c>
      <c r="B134" s="4" t="inlineStr">
        <is>
          <t>Forgot password</t>
        </is>
      </c>
      <c r="C134" s="4" t="inlineStr">
        <is>
          <t>Email with surrounding spaces</t>
        </is>
      </c>
      <c r="D134" s="28" t="inlineStr">
        <is>
          <t>Edge</t>
        </is>
      </c>
      <c r="E134" s="28" t="inlineStr">
        <is>
          <t>Medium</t>
        </is>
      </c>
      <c r="F134" s="28" t="inlineStr">
        <is>
          <t>UI</t>
        </is>
      </c>
      <c r="G134" s="28" t="inlineStr">
        <is>
          <t>Manual UI</t>
        </is>
      </c>
      <c r="H134" s="28" t="inlineStr">
        <is>
          <t>Extended</t>
        </is>
      </c>
      <c r="I134" s="4" t="inlineStr">
        <is>
          <t>App running and reachable; tester is signed out.</t>
        </is>
      </c>
      <c r="J134" s="4" t="inlineStr">
        <is>
          <t>1. Enter "  [ACC-01 email]  " and submit.</t>
        </is>
      </c>
      <c r="K134" s="4" t="inlineStr">
        <is>
          <t>padded email</t>
        </is>
      </c>
      <c r="L134" s="4" t="inlineStr">
        <is>
          <t>Field has no type=email sanitising, so validation rejects the padded value (or the app trims it) - never a server error.</t>
        </is>
      </c>
      <c r="M134" s="4" t="inlineStr">
        <is>
          <t>FPW-01</t>
        </is>
      </c>
      <c r="N134" s="4" t="inlineStr">
        <is>
          <t>ForgotPasswordForm.tsx:139-145</t>
        </is>
      </c>
      <c r="O134" s="28" t="inlineStr"/>
      <c r="P134" s="29" t="n"/>
      <c r="Q134" s="30" t="inlineStr">
        <is>
          <t>Not Run</t>
        </is>
      </c>
      <c r="R134" s="30" t="n"/>
      <c r="S134" s="31" t="n"/>
      <c r="T134" s="29" t="n"/>
    </row>
    <row r="135" ht="34" customHeight="1">
      <c r="A135" s="27" t="inlineStr">
        <is>
          <t>TC-FPW-006</t>
        </is>
      </c>
      <c r="B135" s="4" t="inlineStr">
        <is>
          <t>Forgot password</t>
        </is>
      </c>
      <c r="C135" s="4" t="inlineStr">
        <is>
          <t>Email in mixed case</t>
        </is>
      </c>
      <c r="D135" s="28" t="inlineStr">
        <is>
          <t>Edge</t>
        </is>
      </c>
      <c r="E135" s="28" t="inlineStr">
        <is>
          <t>Medium</t>
        </is>
      </c>
      <c r="F135" s="28" t="inlineStr">
        <is>
          <t>UI</t>
        </is>
      </c>
      <c r="G135" s="28" t="inlineStr">
        <is>
          <t>Manual UI</t>
        </is>
      </c>
      <c r="H135" s="28" t="inlineStr">
        <is>
          <t>Extended</t>
        </is>
      </c>
      <c r="I135" s="4" t="inlineStr">
        <is>
          <t>App running and reachable; tester is signed out.</t>
        </is>
      </c>
      <c r="J135" s="4" t="inlineStr">
        <is>
          <t>1. Request a reset with the email in upper case.
2. Enter the emailed code.</t>
        </is>
      </c>
      <c r="K135" s="4" t="inlineStr">
        <is>
          <t>APPLICANT.OK@&lt;domain&gt;</t>
        </is>
      </c>
      <c r="L135" s="4" t="inlineStr">
        <is>
          <t>Reset email arrives and the code verifies (hash and Supabase lookups are case-insensitive).</t>
        </is>
      </c>
      <c r="M135" s="4" t="inlineStr">
        <is>
          <t>FPW-02, OTP-14</t>
        </is>
      </c>
      <c r="N135" s="4" t="inlineStr">
        <is>
          <t>auth.mutations.ts › forgotPasswordFn; otp-codes.server.ts:14-18</t>
        </is>
      </c>
      <c r="O135" s="28" t="inlineStr"/>
      <c r="P135" s="29" t="n"/>
      <c r="Q135" s="30" t="inlineStr">
        <is>
          <t>Not Run</t>
        </is>
      </c>
      <c r="R135" s="30" t="n"/>
      <c r="S135" s="31" t="n"/>
      <c r="T135" s="29" t="n"/>
    </row>
    <row r="136" ht="49" customHeight="1">
      <c r="A136" s="27" t="inlineStr">
        <is>
          <t>TC-FPW-007</t>
        </is>
      </c>
      <c r="B136" s="4" t="inlineStr">
        <is>
          <t>Forgot password</t>
        </is>
      </c>
      <c r="C136" s="4" t="inlineStr">
        <is>
          <t>Mail provider failure</t>
        </is>
      </c>
      <c r="D136" s="28" t="inlineStr">
        <is>
          <t>Negative</t>
        </is>
      </c>
      <c r="E136" s="28" t="inlineStr">
        <is>
          <t>High</t>
        </is>
      </c>
      <c r="F136" s="28" t="inlineStr">
        <is>
          <t>API</t>
        </is>
      </c>
      <c r="G136" s="28" t="inlineStr">
        <is>
          <t>Stub (temp edit)</t>
        </is>
      </c>
      <c r="H136" s="28" t="inlineStr">
        <is>
          <t>Core</t>
        </is>
      </c>
      <c r="I136" s="4" t="inlineStr">
        <is>
          <t>App running and reachable; tester is signed out.</t>
        </is>
      </c>
      <c r="J136" s="4" t="inlineStr">
        <is>
          <t>1. Stub the mail provider to fail.
2. Submit a valid email.</t>
        </is>
      </c>
      <c r="K136" s="4" t="inlineStr">
        <is>
          <t>stub failure</t>
        </is>
      </c>
      <c r="L136" s="4" t="inlineStr">
        <is>
          <t>[Known issue F-16 - current code differs] Alert "Reset code not sent" with a failure message; code-entry screen is NOT shown; no auth_otp_codes row is written.</t>
        </is>
      </c>
      <c r="M136" s="4" t="inlineStr">
        <is>
          <t>FPW-04</t>
        </is>
      </c>
      <c r="N136" s="4" t="inlineStr">
        <is>
          <t>auth.mutations.ts › forgotPasswordFn:456-479; ForgotPasswordForm.tsx:45-50</t>
        </is>
      </c>
      <c r="O136" s="28" t="inlineStr">
        <is>
          <t>F-16</t>
        </is>
      </c>
      <c r="P136" s="29" t="n"/>
      <c r="Q136" s="30" t="inlineStr">
        <is>
          <t>Not Run</t>
        </is>
      </c>
      <c r="R136" s="30" t="n"/>
      <c r="S136" s="31" t="n"/>
      <c r="T136" s="29" t="n"/>
    </row>
    <row r="137" ht="34" customHeight="1">
      <c r="A137" s="27" t="inlineStr">
        <is>
          <t>TC-FPW-008</t>
        </is>
      </c>
      <c r="B137" s="4" t="inlineStr">
        <is>
          <t>Forgot password</t>
        </is>
      </c>
      <c r="C137" s="4" t="inlineStr">
        <is>
          <t>Recovery link generation returns no OTP</t>
        </is>
      </c>
      <c r="D137" s="28" t="inlineStr">
        <is>
          <t>Negative</t>
        </is>
      </c>
      <c r="E137" s="28" t="inlineStr">
        <is>
          <t>Low</t>
        </is>
      </c>
      <c r="F137" s="28" t="inlineStr">
        <is>
          <t>API</t>
        </is>
      </c>
      <c r="G137" s="28" t="inlineStr">
        <is>
          <t>Stub (temp edit)</t>
        </is>
      </c>
      <c r="H137" s="28" t="inlineStr">
        <is>
          <t>Extended</t>
        </is>
      </c>
      <c r="I137" s="4" t="inlineStr">
        <is>
          <t>App running and reachable; tester is signed out.</t>
        </is>
      </c>
      <c r="J137" s="4" t="inlineStr">
        <is>
          <t>1. Stub generateLink with data lacking email_otp.</t>
        </is>
      </c>
      <c r="K137" s="4" t="inlineStr">
        <is>
          <t>stub</t>
        </is>
      </c>
      <c r="L137" s="4" t="inlineStr">
        <is>
          <t>Returns "Failed to generate the password reset code."; shown in the alert.</t>
        </is>
      </c>
      <c r="M137" s="4" t="inlineStr">
        <is>
          <t>FPW-05</t>
        </is>
      </c>
      <c r="N137" s="4" t="inlineStr">
        <is>
          <t>auth.mutations.ts › forgotPasswordFn:447-454</t>
        </is>
      </c>
      <c r="O137" s="28" t="inlineStr"/>
      <c r="P137" s="29" t="n"/>
      <c r="Q137" s="30" t="inlineStr">
        <is>
          <t>Not Run</t>
        </is>
      </c>
      <c r="R137" s="30" t="n"/>
      <c r="S137" s="31" t="n"/>
      <c r="T137" s="29" t="n"/>
    </row>
    <row r="138" ht="49" customHeight="1">
      <c r="A138" s="27" t="inlineStr">
        <is>
          <t>TC-FPW-009</t>
        </is>
      </c>
      <c r="B138" s="4" t="inlineStr">
        <is>
          <t>Forgot password</t>
        </is>
      </c>
      <c r="C138" s="4" t="inlineStr">
        <is>
          <t>Backend error with empty message / network failure</t>
        </is>
      </c>
      <c r="D138" s="28" t="inlineStr">
        <is>
          <t>Edge</t>
        </is>
      </c>
      <c r="E138" s="28" t="inlineStr">
        <is>
          <t>Medium</t>
        </is>
      </c>
      <c r="F138" s="28" t="inlineStr">
        <is>
          <t>UI</t>
        </is>
      </c>
      <c r="G138" s="28" t="inlineStr">
        <is>
          <t>Stub (temp edit)</t>
        </is>
      </c>
      <c r="H138" s="28" t="inlineStr">
        <is>
          <t>Extended</t>
        </is>
      </c>
      <c r="I138" s="4" t="inlineStr">
        <is>
          <t>App running and reachable; tester is signed out.</t>
        </is>
      </c>
      <c r="J138" s="4" t="inlineStr">
        <is>
          <t>1. Stub an error with message "{}"; then go offline and submit.</t>
        </is>
      </c>
      <c r="K138" s="4" t="inlineStr">
        <is>
          <t>stub / offline</t>
        </is>
      </c>
      <c r="L138" s="4" t="inlineStr">
        <is>
          <t>Fallback "An unexpected forgot password request server error occurred." and, offline, "We could not reach the email service. Please try again in a moment."</t>
        </is>
      </c>
      <c r="M138" s="4" t="inlineStr">
        <is>
          <t>FPW-10</t>
        </is>
      </c>
      <c r="N138" s="4" t="inlineStr">
        <is>
          <t>auth.mutations.ts › forgotPasswordFn:437-444; ForgotPasswordForm.tsx:46-50</t>
        </is>
      </c>
      <c r="O138" s="28" t="inlineStr"/>
      <c r="P138" s="29" t="n"/>
      <c r="Q138" s="30" t="inlineStr">
        <is>
          <t>Not Run</t>
        </is>
      </c>
      <c r="R138" s="30" t="n"/>
      <c r="S138" s="31" t="n"/>
      <c r="T138" s="29" t="n"/>
    </row>
    <row r="139" ht="49" customHeight="1">
      <c r="A139" s="27" t="inlineStr">
        <is>
          <t>TC-FPW-010</t>
        </is>
      </c>
      <c r="B139" s="4" t="inlineStr">
        <is>
          <t>Forgot password</t>
        </is>
      </c>
      <c r="C139" s="4" t="inlineStr">
        <is>
          <t>Valid reset code opens a recovery session</t>
        </is>
      </c>
      <c r="D139" s="28" t="inlineStr">
        <is>
          <t>Positive</t>
        </is>
      </c>
      <c r="E139" s="28" t="inlineStr">
        <is>
          <t>High</t>
        </is>
      </c>
      <c r="F139" s="28" t="inlineStr">
        <is>
          <t>UI</t>
        </is>
      </c>
      <c r="G139" s="28" t="inlineStr">
        <is>
          <t>Manual UI</t>
        </is>
      </c>
      <c r="H139" s="28" t="inlineStr">
        <is>
          <t>Smoke</t>
        </is>
      </c>
      <c r="I139" s="4" t="inlineStr">
        <is>
          <t>App running and reachable; tester is signed out.</t>
        </is>
      </c>
      <c r="J139" s="4" t="inlineStr">
        <is>
          <t>1. Request a code.
2. Enter it and click Verify code.</t>
        </is>
      </c>
      <c r="K139" s="4" t="inlineStr">
        <is>
          <t>valid code</t>
        </is>
      </c>
      <c r="L139" s="4" t="inlineStr">
        <is>
          <t>Navigates to /reset-password with an active recovery session; recovery auth_otp_codes rows removed; a session event is recorded with method "password reset" for personnel roles.</t>
        </is>
      </c>
      <c r="M139" s="4" t="inlineStr">
        <is>
          <t>FPW-06, FPW-12, AUD-05</t>
        </is>
      </c>
      <c r="N139" s="4" t="inlineStr">
        <is>
          <t>verifyRecoveryOtpFn; useVerifyRecoveryOtp.ts</t>
        </is>
      </c>
      <c r="O139" s="28" t="inlineStr"/>
      <c r="P139" s="29" t="n"/>
      <c r="Q139" s="30" t="inlineStr">
        <is>
          <t>Not Run</t>
        </is>
      </c>
      <c r="R139" s="30" t="n"/>
      <c r="S139" s="31" t="n"/>
      <c r="T139" s="29" t="n"/>
    </row>
    <row r="140" ht="34" customHeight="1">
      <c r="A140" s="27" t="inlineStr">
        <is>
          <t>TC-FPW-011</t>
        </is>
      </c>
      <c r="B140" s="4" t="inlineStr">
        <is>
          <t>Forgot password</t>
        </is>
      </c>
      <c r="C140" s="4" t="inlineStr">
        <is>
          <t>Wrong reset code</t>
        </is>
      </c>
      <c r="D140" s="28" t="inlineStr">
        <is>
          <t>Negative</t>
        </is>
      </c>
      <c r="E140" s="28" t="inlineStr">
        <is>
          <t>High</t>
        </is>
      </c>
      <c r="F140" s="28" t="inlineStr">
        <is>
          <t>UI</t>
        </is>
      </c>
      <c r="G140" s="28" t="inlineStr">
        <is>
          <t>Manual UI</t>
        </is>
      </c>
      <c r="H140" s="28" t="inlineStr">
        <is>
          <t>Smoke</t>
        </is>
      </c>
      <c r="I140" s="4" t="inlineStr">
        <is>
          <t>App running and reachable; tester is signed out.</t>
        </is>
      </c>
      <c r="J140" s="4" t="inlineStr">
        <is>
          <t>1. Enter a random 6-digit code.</t>
        </is>
      </c>
      <c r="K140" s="4" t="inlineStr">
        <is>
          <t>000000</t>
        </is>
      </c>
      <c r="L140" s="4" t="inlineStr">
        <is>
          <t>"Wrong code. Please check it and try again."; stays on the code screen.</t>
        </is>
      </c>
      <c r="M140" s="4" t="inlineStr">
        <is>
          <t>FPW-07</t>
        </is>
      </c>
      <c r="N140" s="4" t="inlineStr">
        <is>
          <t>otp-codes.server.ts:63-64</t>
        </is>
      </c>
      <c r="O140" s="28" t="inlineStr"/>
      <c r="P140" s="29" t="n"/>
      <c r="Q140" s="30" t="inlineStr">
        <is>
          <t>Not Run</t>
        </is>
      </c>
      <c r="R140" s="30" t="n"/>
      <c r="S140" s="31" t="n"/>
      <c r="T140" s="29" t="n"/>
    </row>
    <row r="141" ht="34" customHeight="1">
      <c r="A141" s="27" t="inlineStr">
        <is>
          <t>TC-FPW-012</t>
        </is>
      </c>
      <c r="B141" s="4" t="inlineStr">
        <is>
          <t>Forgot password</t>
        </is>
      </c>
      <c r="C141" s="4" t="inlineStr">
        <is>
          <t>Replaced reset code</t>
        </is>
      </c>
      <c r="D141" s="28" t="inlineStr">
        <is>
          <t>Negative</t>
        </is>
      </c>
      <c r="E141" s="28" t="inlineStr">
        <is>
          <t>High</t>
        </is>
      </c>
      <c r="F141" s="28" t="inlineStr">
        <is>
          <t>UI</t>
        </is>
      </c>
      <c r="G141" s="28" t="inlineStr">
        <is>
          <t>Manual UI</t>
        </is>
      </c>
      <c r="H141" s="28" t="inlineStr">
        <is>
          <t>Core</t>
        </is>
      </c>
      <c r="I141" s="4" t="inlineStr">
        <is>
          <t>App running and reachable; tester is signed out.</t>
        </is>
      </c>
      <c r="J141" s="4" t="inlineStr">
        <is>
          <t>1. Request code A, then Resend for code B.
2. Enter code A.</t>
        </is>
      </c>
      <c r="K141" s="4" t="inlineStr">
        <is>
          <t>code A</t>
        </is>
      </c>
      <c r="L141" s="4" t="inlineStr">
        <is>
          <t>"That's an old code. Enter the newest one we sent to your email."</t>
        </is>
      </c>
      <c r="M141" s="4" t="inlineStr">
        <is>
          <t>FPW-07, FPW-08</t>
        </is>
      </c>
      <c r="N141" s="4" t="inlineStr">
        <is>
          <t>otp-codes.server.ts:70</t>
        </is>
      </c>
      <c r="O141" s="28" t="inlineStr"/>
      <c r="P141" s="29" t="n"/>
      <c r="Q141" s="30" t="inlineStr">
        <is>
          <t>Not Run</t>
        </is>
      </c>
      <c r="R141" s="30" t="n"/>
      <c r="S141" s="31" t="n"/>
      <c r="T141" s="29" t="n"/>
    </row>
    <row r="142" ht="79" customHeight="1">
      <c r="A142" s="27" t="inlineStr">
        <is>
          <t>TC-FPW-013</t>
        </is>
      </c>
      <c r="B142" s="4" t="inlineStr">
        <is>
          <t>Forgot password</t>
        </is>
      </c>
      <c r="C142" s="4" t="inlineStr">
        <is>
          <t>Expired reset code</t>
        </is>
      </c>
      <c r="D142" s="28" t="inlineStr">
        <is>
          <t>Negative</t>
        </is>
      </c>
      <c r="E142" s="28" t="inlineStr">
        <is>
          <t>Medium</t>
        </is>
      </c>
      <c r="F142" s="28" t="inlineStr">
        <is>
          <t>DB</t>
        </is>
      </c>
      <c r="G142" s="28" t="inlineStr">
        <is>
          <t>Manual + DB</t>
        </is>
      </c>
      <c r="H142" s="28" t="inlineStr">
        <is>
          <t>Extended</t>
        </is>
      </c>
      <c r="I142" s="4" t="inlineStr">
        <is>
          <t>App running and reachable; tester is signed out.</t>
        </is>
      </c>
      <c r="J142" s="4" t="inlineStr">
        <is>
          <t>1. Request a reset code. Wait 61 minutes, or in a test project shorten Supabase Email OTP Expiration to 60 s, wait, and backdate the newest recovery row's issued_at by 61 minutes.
2. Enter the code.</t>
        </is>
      </c>
      <c r="K142" s="4" t="inlineStr">
        <is>
          <t>expired code</t>
        </is>
      </c>
      <c r="L142" s="4" t="inlineStr">
        <is>
          <t>"This code has expired. Tap Resend to get a new one."</t>
        </is>
      </c>
      <c r="M142" s="4" t="inlineStr">
        <is>
          <t>FPW-07</t>
        </is>
      </c>
      <c r="N142" s="4" t="inlineStr">
        <is>
          <t>otp-codes.server.ts:67-70</t>
        </is>
      </c>
      <c r="O142" s="28" t="inlineStr"/>
      <c r="P142" s="29" t="n"/>
      <c r="Q142" s="30" t="inlineStr">
        <is>
          <t>Not Run</t>
        </is>
      </c>
      <c r="R142" s="30" t="n"/>
      <c r="S142" s="31" t="n"/>
      <c r="T142" s="29" t="n"/>
    </row>
    <row r="143" ht="34" customHeight="1">
      <c r="A143" s="27" t="inlineStr">
        <is>
          <t>TC-FPW-014</t>
        </is>
      </c>
      <c r="B143" s="4" t="inlineStr">
        <is>
          <t>Forgot password</t>
        </is>
      </c>
      <c r="C143" s="4" t="inlineStr">
        <is>
          <t>Resend reset code with cooldown</t>
        </is>
      </c>
      <c r="D143" s="28" t="inlineStr">
        <is>
          <t>Positive</t>
        </is>
      </c>
      <c r="E143" s="28" t="inlineStr">
        <is>
          <t>Medium</t>
        </is>
      </c>
      <c r="F143" s="28" t="inlineStr">
        <is>
          <t>UI</t>
        </is>
      </c>
      <c r="G143" s="28" t="inlineStr">
        <is>
          <t>Manual UI</t>
        </is>
      </c>
      <c r="H143" s="28" t="inlineStr">
        <is>
          <t>Extended</t>
        </is>
      </c>
      <c r="I143" s="4" t="inlineStr">
        <is>
          <t>App running and reachable; tester is signed out.</t>
        </is>
      </c>
      <c r="J143" s="4" t="inlineStr">
        <is>
          <t>1. On the code screen wait for the 30 s cooldown.
2. Click Resend.</t>
        </is>
      </c>
      <c r="K143" s="4" t="inlineStr">
        <is>
          <t>—</t>
        </is>
      </c>
      <c r="L143" s="4" t="inlineStr">
        <is>
          <t>Button disabled with countdown, then a new email arrives; the previous code becomes "old".</t>
        </is>
      </c>
      <c r="M143" s="4" t="inlineStr">
        <is>
          <t>FPW-08</t>
        </is>
      </c>
      <c r="N143" s="4" t="inlineStr">
        <is>
          <t>OtpCodeForm.tsx:57-61; ForgotPasswordForm.tsx:96-98</t>
        </is>
      </c>
      <c r="O143" s="28" t="inlineStr"/>
      <c r="P143" s="29" t="n"/>
      <c r="Q143" s="30" t="inlineStr">
        <is>
          <t>Not Run</t>
        </is>
      </c>
      <c r="R143" s="30" t="n"/>
      <c r="S143" s="31" t="n"/>
      <c r="T143" s="29" t="n"/>
    </row>
    <row r="144" ht="49" customHeight="1">
      <c r="A144" s="27" t="inlineStr">
        <is>
          <t>TC-FPW-015</t>
        </is>
      </c>
      <c r="B144" s="4" t="inlineStr">
        <is>
          <t>Forgot password</t>
        </is>
      </c>
      <c r="C144" s="4" t="inlineStr">
        <is>
          <t>Signup code cannot be used as a reset code</t>
        </is>
      </c>
      <c r="D144" s="28" t="inlineStr">
        <is>
          <t>Security</t>
        </is>
      </c>
      <c r="E144" s="28" t="inlineStr">
        <is>
          <t>High</t>
        </is>
      </c>
      <c r="F144" s="28" t="inlineStr">
        <is>
          <t>API</t>
        </is>
      </c>
      <c r="G144" s="28" t="inlineStr">
        <is>
          <t>Direct API call</t>
        </is>
      </c>
      <c r="H144" s="28" t="inlineStr">
        <is>
          <t>Core</t>
        </is>
      </c>
      <c r="I144" s="4" t="inlineStr">
        <is>
          <t>App running and reachable; tester is signed out.</t>
        </is>
      </c>
      <c r="J144" s="4" t="inlineStr">
        <is>
          <t>1. Obtain a signup code for an unconfirmed account.
2. Submit it to verifyRecoveryOtpFn with the same email.</t>
        </is>
      </c>
      <c r="K144" s="4" t="inlineStr">
        <is>
          <t>signup code, recovery type</t>
        </is>
      </c>
      <c r="L144" s="4" t="inlineStr">
        <is>
          <t>Rejected ("Wrong code"); no session is created.</t>
        </is>
      </c>
      <c r="M144" s="4" t="inlineStr">
        <is>
          <t>FPW-14</t>
        </is>
      </c>
      <c r="N144" s="4" t="inlineStr">
        <is>
          <t>verifyRecoveryOtpFn</t>
        </is>
      </c>
      <c r="O144" s="28" t="inlineStr"/>
      <c r="P144" s="29" t="n"/>
      <c r="Q144" s="30" t="inlineStr">
        <is>
          <t>Not Run</t>
        </is>
      </c>
      <c r="R144" s="30" t="n"/>
      <c r="S144" s="31" t="n"/>
      <c r="T144" s="29" t="n"/>
    </row>
    <row r="145" ht="34" customHeight="1">
      <c r="A145" s="27" t="inlineStr">
        <is>
          <t>TC-FPW-016</t>
        </is>
      </c>
      <c r="B145" s="4" t="inlineStr">
        <is>
          <t>Forgot password</t>
        </is>
      </c>
      <c r="C145" s="4" t="inlineStr">
        <is>
          <t>Reset code for one account cannot be applied to another</t>
        </is>
      </c>
      <c r="D145" s="28" t="inlineStr">
        <is>
          <t>Security</t>
        </is>
      </c>
      <c r="E145" s="28" t="inlineStr">
        <is>
          <t>High</t>
        </is>
      </c>
      <c r="F145" s="28" t="inlineStr">
        <is>
          <t>API</t>
        </is>
      </c>
      <c r="G145" s="28" t="inlineStr">
        <is>
          <t>Direct API call</t>
        </is>
      </c>
      <c r="H145" s="28" t="inlineStr">
        <is>
          <t>Core</t>
        </is>
      </c>
      <c r="I145" s="4" t="inlineStr">
        <is>
          <t>App running and reachable; tester is signed out.</t>
        </is>
      </c>
      <c r="J145" s="4" t="inlineStr">
        <is>
          <t>1. Request codes for emails A and B.
2. Submit A's code with B's email.</t>
        </is>
      </c>
      <c r="K145" s="4" t="inlineStr">
        <is>
          <t>A's code + B's email</t>
        </is>
      </c>
      <c r="L145" s="4" t="inlineStr">
        <is>
          <t>Rejected; no session for either account.</t>
        </is>
      </c>
      <c r="M145" s="4" t="inlineStr">
        <is>
          <t>FPW-14</t>
        </is>
      </c>
      <c r="N145" s="4" t="inlineStr">
        <is>
          <t>verifyRecoveryOtpFn</t>
        </is>
      </c>
      <c r="O145" s="28" t="inlineStr"/>
      <c r="P145" s="29" t="n"/>
      <c r="Q145" s="30" t="inlineStr">
        <is>
          <t>Not Run</t>
        </is>
      </c>
      <c r="R145" s="30" t="n"/>
      <c r="S145" s="31" t="n"/>
      <c r="T145" s="29" t="n"/>
    </row>
    <row r="146" ht="34" customHeight="1">
      <c r="A146" s="27" t="inlineStr">
        <is>
          <t>TC-FPW-017</t>
        </is>
      </c>
      <c r="B146" s="4" t="inlineStr">
        <is>
          <t>Forgot password</t>
        </is>
      </c>
      <c r="C146" s="4" t="inlineStr">
        <is>
          <t>Replaying a consumed reset code</t>
        </is>
      </c>
      <c r="D146" s="28" t="inlineStr">
        <is>
          <t>Edge</t>
        </is>
      </c>
      <c r="E146" s="28" t="inlineStr">
        <is>
          <t>Medium</t>
        </is>
      </c>
      <c r="F146" s="28" t="inlineStr">
        <is>
          <t>API</t>
        </is>
      </c>
      <c r="G146" s="28" t="inlineStr">
        <is>
          <t>Direct API call</t>
        </is>
      </c>
      <c r="H146" s="28" t="inlineStr">
        <is>
          <t>Extended</t>
        </is>
      </c>
      <c r="I146" s="4" t="inlineStr">
        <is>
          <t>App running and reachable; tester is signed out.</t>
        </is>
      </c>
      <c r="J146" s="4" t="inlineStr">
        <is>
          <t>1. Verify a code successfully.
2. Submit the same code again.</t>
        </is>
      </c>
      <c r="K146" s="4" t="inlineStr">
        <is>
          <t>used code</t>
        </is>
      </c>
      <c r="L146" s="4" t="inlineStr">
        <is>
          <t>[Known issue F-13 - current code differs] Rejected. Message currently "Wrong code" (history cleared) rather than "old code".</t>
        </is>
      </c>
      <c r="M146" s="4" t="inlineStr">
        <is>
          <t>FPW-07</t>
        </is>
      </c>
      <c r="N146" s="4" t="inlineStr">
        <is>
          <t>otp-codes.server.ts:37-43</t>
        </is>
      </c>
      <c r="O146" s="28" t="inlineStr">
        <is>
          <t>F-13</t>
        </is>
      </c>
      <c r="P146" s="29" t="n"/>
      <c r="Q146" s="30" t="inlineStr">
        <is>
          <t>Not Run</t>
        </is>
      </c>
      <c r="R146" s="30" t="n"/>
      <c r="S146" s="31" t="n"/>
      <c r="T146" s="29" t="n"/>
    </row>
    <row r="147" ht="64" customHeight="1">
      <c r="A147" s="27" t="inlineStr">
        <is>
          <t>TC-FPW-018</t>
        </is>
      </c>
      <c r="B147" s="4" t="inlineStr">
        <is>
          <t>Forgot password</t>
        </is>
      </c>
      <c r="C147" s="4" t="inlineStr">
        <is>
          <t>Reset request for an unconfirmed account</t>
        </is>
      </c>
      <c r="D147" s="28" t="inlineStr">
        <is>
          <t>Edge</t>
        </is>
      </c>
      <c r="E147" s="28" t="inlineStr">
        <is>
          <t>Medium</t>
        </is>
      </c>
      <c r="F147" s="28" t="inlineStr">
        <is>
          <t>UI</t>
        </is>
      </c>
      <c r="G147" s="28" t="inlineStr">
        <is>
          <t>Exploratory</t>
        </is>
      </c>
      <c r="H147" s="28" t="inlineStr">
        <is>
          <t>Extended</t>
        </is>
      </c>
      <c r="I147" s="4" t="inlineStr">
        <is>
          <t>[ACC-02] unconfirmed.</t>
        </is>
      </c>
      <c r="J147" s="4" t="inlineStr">
        <is>
          <t>1. Request a reset for the unconfirmed account.
2. Use the code.</t>
        </is>
      </c>
      <c r="K147" s="4" t="inlineStr">
        <is>
          <t>[ACC-02]</t>
        </is>
      </c>
      <c r="L147" s="4" t="inlineStr">
        <is>
          <t>Pass criteria: no 500 error, and no usable session for an unconfirmed account that skips the sign-up checks - the reset is either blocked with a clear message or properly confirms the email. Record which of the two happens.</t>
        </is>
      </c>
      <c r="M147" s="4" t="inlineStr">
        <is>
          <t>FPW-11</t>
        </is>
      </c>
      <c r="N147" s="4" t="inlineStr">
        <is>
          <t>auth.mutations.ts › forgotPasswordFn</t>
        </is>
      </c>
      <c r="O147" s="28" t="inlineStr"/>
      <c r="P147" s="29" t="n"/>
      <c r="Q147" s="30" t="inlineStr">
        <is>
          <t>Not Run</t>
        </is>
      </c>
      <c r="R147" s="30" t="n"/>
      <c r="S147" s="31" t="n"/>
      <c r="T147" s="29" t="n"/>
    </row>
    <row r="148" ht="34" customHeight="1">
      <c r="A148" s="27" t="inlineStr">
        <is>
          <t>TC-FPW-019</t>
        </is>
      </c>
      <c r="B148" s="4" t="inlineStr">
        <is>
          <t>Forgot password</t>
        </is>
      </c>
      <c r="C148" s="4" t="inlineStr">
        <is>
          <t>Reset request for a Google-only account</t>
        </is>
      </c>
      <c r="D148" s="28" t="inlineStr">
        <is>
          <t>Edge</t>
        </is>
      </c>
      <c r="E148" s="28" t="inlineStr">
        <is>
          <t>Medium</t>
        </is>
      </c>
      <c r="F148" s="28" t="inlineStr">
        <is>
          <t>UI</t>
        </is>
      </c>
      <c r="G148" s="28" t="inlineStr">
        <is>
          <t>Manual UI</t>
        </is>
      </c>
      <c r="H148" s="28" t="inlineStr">
        <is>
          <t>Extended</t>
        </is>
      </c>
      <c r="I148" s="4" t="inlineStr">
        <is>
          <t>App running and reachable; tester is signed out.</t>
        </is>
      </c>
      <c r="J148" s="4" t="inlineStr">
        <is>
          <t>1. Request a reset for the Google account.
2. Set a password.</t>
        </is>
      </c>
      <c r="K148" s="4" t="inlineStr">
        <is>
          <t>[ACC-10] email</t>
        </is>
      </c>
      <c r="L148" s="4" t="inlineStr">
        <is>
          <t>Reset succeeds; the user can then sign in with email+password and Google, with one profile.</t>
        </is>
      </c>
      <c r="M148" s="4" t="inlineStr">
        <is>
          <t>FPW-11, OAU-12</t>
        </is>
      </c>
      <c r="N148" s="4" t="inlineStr">
        <is>
          <t>auth.mutations.ts › forgotPasswordFn</t>
        </is>
      </c>
      <c r="O148" s="28" t="inlineStr"/>
      <c r="P148" s="29" t="n"/>
      <c r="Q148" s="30" t="inlineStr">
        <is>
          <t>Not Run</t>
        </is>
      </c>
      <c r="R148" s="30" t="n"/>
      <c r="S148" s="31" t="n"/>
      <c r="T148" s="29" t="n"/>
    </row>
    <row r="149" ht="34" customHeight="1">
      <c r="A149" s="27" t="inlineStr">
        <is>
          <t>TC-FPW-020</t>
        </is>
      </c>
      <c r="B149" s="4" t="inlineStr">
        <is>
          <t>Forgot password</t>
        </is>
      </c>
      <c r="C149" s="4" t="inlineStr">
        <is>
          <t>Double-click on Send reset code</t>
        </is>
      </c>
      <c r="D149" s="28" t="inlineStr">
        <is>
          <t>Edge</t>
        </is>
      </c>
      <c r="E149" s="28" t="inlineStr">
        <is>
          <t>Medium</t>
        </is>
      </c>
      <c r="F149" s="28" t="inlineStr">
        <is>
          <t>UI</t>
        </is>
      </c>
      <c r="G149" s="28" t="inlineStr">
        <is>
          <t>Manual UI</t>
        </is>
      </c>
      <c r="H149" s="28" t="inlineStr">
        <is>
          <t>Extended</t>
        </is>
      </c>
      <c r="I149" s="4" t="inlineStr">
        <is>
          <t>App running and reachable; tester is signed out.</t>
        </is>
      </c>
      <c r="J149" s="4" t="inlineStr">
        <is>
          <t>1. Double-click the submit button.</t>
        </is>
      </c>
      <c r="K149" s="4" t="inlineStr">
        <is>
          <t>[ACC-01]</t>
        </is>
      </c>
      <c r="L149" s="4" t="inlineStr">
        <is>
          <t>One request and one email; button shows "Sending" and is disabled.</t>
        </is>
      </c>
      <c r="M149" s="4" t="inlineStr">
        <is>
          <t>FPW-15</t>
        </is>
      </c>
      <c r="N149" s="4" t="inlineStr">
        <is>
          <t>ForgotPasswordForm.tsx:154-168</t>
        </is>
      </c>
      <c r="O149" s="28" t="inlineStr"/>
      <c r="P149" s="29" t="n"/>
      <c r="Q149" s="30" t="inlineStr">
        <is>
          <t>Not Run</t>
        </is>
      </c>
      <c r="R149" s="30" t="n"/>
      <c r="S149" s="31" t="n"/>
      <c r="T149" s="29" t="n"/>
    </row>
    <row r="150" ht="64" customHeight="1">
      <c r="A150" s="27" t="inlineStr">
        <is>
          <t>TC-FPW-021</t>
        </is>
      </c>
      <c r="B150" s="4" t="inlineStr">
        <is>
          <t>Forgot password</t>
        </is>
      </c>
      <c r="C150" s="4" t="inlineStr">
        <is>
          <t>Reset-email flooding</t>
        </is>
      </c>
      <c r="D150" s="28" t="inlineStr">
        <is>
          <t>Security</t>
        </is>
      </c>
      <c r="E150" s="28" t="inlineStr">
        <is>
          <t>Medium</t>
        </is>
      </c>
      <c r="F150" s="28" t="inlineStr">
        <is>
          <t>API</t>
        </is>
      </c>
      <c r="G150" s="28" t="inlineStr">
        <is>
          <t>Exploratory</t>
        </is>
      </c>
      <c r="H150" s="28" t="inlineStr">
        <is>
          <t>Extended</t>
        </is>
      </c>
      <c r="I150" s="4" t="inlineStr">
        <is>
          <t>App running and reachable; tester is signed out.</t>
        </is>
      </c>
      <c r="J150" s="4" t="inlineStr">
        <is>
          <t>1. Call forgotPasswordFn 20 times for one email within a minute.</t>
        </is>
      </c>
      <c r="K150" s="4" t="inlineStr">
        <is>
          <t>[ACC-01]</t>
        </is>
      </c>
      <c r="L150" s="4" t="inlineStr">
        <is>
          <t>[Known issue F-08 - current code differs] Pass criteria: Supabase's rate limit engages (a readable error appears) and the inbox does not receive all 20 emails. Record how many arrived; the app's own 30 s cooldown is client-side only.</t>
        </is>
      </c>
      <c r="M150" s="4" t="inlineStr">
        <is>
          <t>FPW-13</t>
        </is>
      </c>
      <c r="N150" s="4" t="inlineStr">
        <is>
          <t>auth.mutations.ts › forgotPasswordFn</t>
        </is>
      </c>
      <c r="O150" s="28" t="inlineStr">
        <is>
          <t>F-08</t>
        </is>
      </c>
      <c r="P150" s="29" t="n"/>
      <c r="Q150" s="30" t="inlineStr">
        <is>
          <t>Not Run</t>
        </is>
      </c>
      <c r="R150" s="30" t="n"/>
      <c r="S150" s="31" t="n"/>
      <c r="T150" s="29" t="n"/>
    </row>
    <row r="151" ht="79" customHeight="1">
      <c r="A151" s="27" t="inlineStr">
        <is>
          <t>TC-FPW-022</t>
        </is>
      </c>
      <c r="B151" s="4" t="inlineStr">
        <is>
          <t>Forgot password</t>
        </is>
      </c>
      <c r="C151" s="4" t="inlineStr">
        <is>
          <t>Refresh on the code screen</t>
        </is>
      </c>
      <c r="D151" s="28" t="inlineStr">
        <is>
          <t>Edge</t>
        </is>
      </c>
      <c r="E151" s="28" t="inlineStr">
        <is>
          <t>Low</t>
        </is>
      </c>
      <c r="F151" s="28" t="inlineStr">
        <is>
          <t>UI</t>
        </is>
      </c>
      <c r="G151" s="28" t="inlineStr">
        <is>
          <t>Manual UI</t>
        </is>
      </c>
      <c r="H151" s="28" t="inlineStr">
        <is>
          <t>Extended</t>
        </is>
      </c>
      <c r="I151" s="4" t="inlineStr">
        <is>
          <t>App running and reachable; tester is signed out.</t>
        </is>
      </c>
      <c r="J151" s="4" t="inlineStr">
        <is>
          <t>1. Request a code and note it.
2. Refresh the page (the form returns to the email step).
3. Request again with the same email, then try the first code.</t>
        </is>
      </c>
      <c r="K151" s="4" t="inlineStr">
        <is>
          <t>—</t>
        </is>
      </c>
      <c r="L151" s="4" t="inlineStr">
        <is>
          <t>Page returns to the email step (state is in memory) with no error screen. The first code is valid until a new request replaces it; after the second request it reports "old code".</t>
        </is>
      </c>
      <c r="M151" s="4" t="inlineStr">
        <is>
          <t>FPW-16</t>
        </is>
      </c>
      <c r="N151" s="4" t="inlineStr">
        <is>
          <t>ForgotPasswordForm.tsx:39-47</t>
        </is>
      </c>
      <c r="O151" s="28" t="inlineStr"/>
      <c r="P151" s="29" t="n"/>
      <c r="Q151" s="30" t="inlineStr">
        <is>
          <t>Not Run</t>
        </is>
      </c>
      <c r="R151" s="30" t="n"/>
      <c r="S151" s="31" t="n"/>
      <c r="T151" s="29" t="n"/>
    </row>
    <row r="152" ht="34" customHeight="1">
      <c r="A152" s="27" t="inlineStr">
        <is>
          <t>TC-FPW-023</t>
        </is>
      </c>
      <c r="B152" s="4" t="inlineStr">
        <is>
          <t>Forgot password</t>
        </is>
      </c>
      <c r="C152" s="4" t="inlineStr">
        <is>
          <t>"Back to sign in" links</t>
        </is>
      </c>
      <c r="D152" s="28" t="inlineStr">
        <is>
          <t>Positive</t>
        </is>
      </c>
      <c r="E152" s="28" t="inlineStr">
        <is>
          <t>Low</t>
        </is>
      </c>
      <c r="F152" s="28" t="inlineStr">
        <is>
          <t>UI</t>
        </is>
      </c>
      <c r="G152" s="28" t="inlineStr">
        <is>
          <t>Manual UI</t>
        </is>
      </c>
      <c r="H152" s="28" t="inlineStr">
        <is>
          <t>Extended</t>
        </is>
      </c>
      <c r="I152" s="4" t="inlineStr">
        <is>
          <t>App running and reachable; tester is signed out.</t>
        </is>
      </c>
      <c r="J152" s="4" t="inlineStr">
        <is>
          <t>1. Click the link on the email form and on the code screen.</t>
        </is>
      </c>
      <c r="K152" s="4" t="inlineStr">
        <is>
          <t>—</t>
        </is>
      </c>
      <c r="L152" s="4" t="inlineStr">
        <is>
          <t>Both navigate to /login.</t>
        </is>
      </c>
      <c r="M152" s="4" t="inlineStr">
        <is>
          <t>FPW-09</t>
        </is>
      </c>
      <c r="N152" s="4" t="inlineStr">
        <is>
          <t>ForgotPasswordForm.tsx:101-107,170-177</t>
        </is>
      </c>
      <c r="O152" s="28" t="inlineStr"/>
      <c r="P152" s="29" t="n"/>
      <c r="Q152" s="30" t="inlineStr">
        <is>
          <t>Not Run</t>
        </is>
      </c>
      <c r="R152" s="30" t="n"/>
      <c r="S152" s="31" t="n"/>
      <c r="T152" s="29" t="n"/>
    </row>
    <row r="153" ht="49" customHeight="1">
      <c r="A153" s="27" t="inlineStr">
        <is>
          <t>TC-RPW-001</t>
        </is>
      </c>
      <c r="B153" s="4" t="inlineStr">
        <is>
          <t>Reset password</t>
        </is>
      </c>
      <c r="C153" s="4" t="inlineStr">
        <is>
          <t>Successful password reset</t>
        </is>
      </c>
      <c r="D153" s="28" t="inlineStr">
        <is>
          <t>Positive</t>
        </is>
      </c>
      <c r="E153" s="28" t="inlineStr">
        <is>
          <t>High</t>
        </is>
      </c>
      <c r="F153" s="28" t="inlineStr">
        <is>
          <t>UI</t>
        </is>
      </c>
      <c r="G153" s="28" t="inlineStr">
        <is>
          <t>Manual UI</t>
        </is>
      </c>
      <c r="H153" s="28" t="inlineStr">
        <is>
          <t>Smoke</t>
        </is>
      </c>
      <c r="I153" s="4" t="inlineStr">
        <is>
          <t>Reset code verified; user is on /reset-password with a recovery session.</t>
        </is>
      </c>
      <c r="J153" s="4" t="inlineStr">
        <is>
          <t>1. Enter a new password and the same confirmation.
2. Click Reset password.</t>
        </is>
      </c>
      <c r="K153" s="4" t="inlineStr">
        <is>
          <t>NewPassw0rd1 / NewPassw0rd1</t>
        </is>
      </c>
      <c r="L153" s="4" t="inlineStr">
        <is>
          <t>Spinner "Updating password"; toast "Password updated successfully."; identity cache cleared; navigates to /login; the new password signs in and the old one is rejected.</t>
        </is>
      </c>
      <c r="M153" s="4" t="inlineStr">
        <is>
          <t>RPW-04, RPW-07</t>
        </is>
      </c>
      <c r="N153" s="4" t="inlineStr">
        <is>
          <t>ResetPasswordForm.tsx; useResetPassword.ts</t>
        </is>
      </c>
      <c r="O153" s="28" t="inlineStr"/>
      <c r="P153" s="29" t="n"/>
      <c r="Q153" s="30" t="inlineStr">
        <is>
          <t>Not Run</t>
        </is>
      </c>
      <c r="R153" s="30" t="n"/>
      <c r="S153" s="31" t="n"/>
      <c r="T153" s="29" t="n"/>
    </row>
    <row r="154" ht="49" customHeight="1">
      <c r="A154" s="27" t="inlineStr">
        <is>
          <t>TC-RPW-002</t>
        </is>
      </c>
      <c r="B154" s="4" t="inlineStr">
        <is>
          <t>Reset password</t>
        </is>
      </c>
      <c r="C154" s="4" t="inlineStr">
        <is>
          <t>Reset: password of 7 characters</t>
        </is>
      </c>
      <c r="D154" s="28" t="inlineStr">
        <is>
          <t>Boundary</t>
        </is>
      </c>
      <c r="E154" s="28" t="inlineStr">
        <is>
          <t>High</t>
        </is>
      </c>
      <c r="F154" s="28" t="inlineStr">
        <is>
          <t>UI</t>
        </is>
      </c>
      <c r="G154" s="28" t="inlineStr">
        <is>
          <t>Manual UI</t>
        </is>
      </c>
      <c r="H154" s="28" t="inlineStr">
        <is>
          <t>Core</t>
        </is>
      </c>
      <c r="I154" s="4" t="inlineStr">
        <is>
          <t>Reset code verified; user is on /reset-password with a recovery session.</t>
        </is>
      </c>
      <c r="J154" s="4" t="inlineStr">
        <is>
          <t>1. Enter a 7-char password and matching confirmation.</t>
        </is>
      </c>
      <c r="K154" s="4" t="inlineStr">
        <is>
          <t>Passw0r</t>
        </is>
      </c>
      <c r="L154" s="4" t="inlineStr">
        <is>
          <t>[Known issue F-02 - current code differs] Blocked. Message should say at least 8 characters; currently "Password is required".</t>
        </is>
      </c>
      <c r="M154" s="4" t="inlineStr">
        <is>
          <t>RPW-01</t>
        </is>
      </c>
      <c r="N154" s="4" t="inlineStr">
        <is>
          <t>ResetPasswordForm.tsx:36</t>
        </is>
      </c>
      <c r="O154" s="28" t="inlineStr">
        <is>
          <t>F-02</t>
        </is>
      </c>
      <c r="P154" s="29" t="n"/>
      <c r="Q154" s="30" t="inlineStr">
        <is>
          <t>Not Run</t>
        </is>
      </c>
      <c r="R154" s="30" t="n"/>
      <c r="S154" s="31" t="n"/>
      <c r="T154" s="29" t="n"/>
    </row>
    <row r="155" ht="49" customHeight="1">
      <c r="A155" s="27" t="inlineStr">
        <is>
          <t>TC-RPW-003</t>
        </is>
      </c>
      <c r="B155" s="4" t="inlineStr">
        <is>
          <t>Reset password</t>
        </is>
      </c>
      <c r="C155" s="4" t="inlineStr">
        <is>
          <t>Reset: password of exactly 8 characters</t>
        </is>
      </c>
      <c r="D155" s="28" t="inlineStr">
        <is>
          <t>Boundary</t>
        </is>
      </c>
      <c r="E155" s="28" t="inlineStr">
        <is>
          <t>High</t>
        </is>
      </c>
      <c r="F155" s="28" t="inlineStr">
        <is>
          <t>UI</t>
        </is>
      </c>
      <c r="G155" s="28" t="inlineStr">
        <is>
          <t>Manual UI</t>
        </is>
      </c>
      <c r="H155" s="28" t="inlineStr">
        <is>
          <t>Core</t>
        </is>
      </c>
      <c r="I155" s="4" t="inlineStr">
        <is>
          <t>Reset code verified; user is on /reset-password with a recovery session.</t>
        </is>
      </c>
      <c r="J155" s="4" t="inlineStr">
        <is>
          <t>1. Enter 8-char password and matching confirmation.</t>
        </is>
      </c>
      <c r="K155" s="4" t="inlineStr">
        <is>
          <t>Passw0rd</t>
        </is>
      </c>
      <c r="L155" s="4" t="inlineStr">
        <is>
          <t>Accepted and updated.</t>
        </is>
      </c>
      <c r="M155" s="4" t="inlineStr">
        <is>
          <t>RPW-01, RPW-04</t>
        </is>
      </c>
      <c r="N155" s="4" t="inlineStr">
        <is>
          <t>ResetPasswordForm.tsx</t>
        </is>
      </c>
      <c r="O155" s="28" t="inlineStr"/>
      <c r="P155" s="29" t="n"/>
      <c r="Q155" s="30" t="inlineStr">
        <is>
          <t>Not Run</t>
        </is>
      </c>
      <c r="R155" s="30" t="n"/>
      <c r="S155" s="31" t="n"/>
      <c r="T155" s="29" t="n"/>
    </row>
    <row r="156" ht="49" customHeight="1">
      <c r="A156" s="27" t="inlineStr">
        <is>
          <t>TC-RPW-004</t>
        </is>
      </c>
      <c r="B156" s="4" t="inlineStr">
        <is>
          <t>Reset password</t>
        </is>
      </c>
      <c r="C156" s="4" t="inlineStr">
        <is>
          <t>Confirmation shorter than 8 characters</t>
        </is>
      </c>
      <c r="D156" s="28" t="inlineStr">
        <is>
          <t>Negative</t>
        </is>
      </c>
      <c r="E156" s="28" t="inlineStr">
        <is>
          <t>Low</t>
        </is>
      </c>
      <c r="F156" s="28" t="inlineStr">
        <is>
          <t>UI</t>
        </is>
      </c>
      <c r="G156" s="28" t="inlineStr">
        <is>
          <t>Manual UI</t>
        </is>
      </c>
      <c r="H156" s="28" t="inlineStr">
        <is>
          <t>Extended</t>
        </is>
      </c>
      <c r="I156" s="4" t="inlineStr">
        <is>
          <t>Reset code verified; user is on /reset-password with a recovery session.</t>
        </is>
      </c>
      <c r="J156" s="4" t="inlineStr">
        <is>
          <t>1. Enter a valid password and a 3-char confirmation.</t>
        </is>
      </c>
      <c r="K156" s="4" t="inlineStr">
        <is>
          <t>Passw0rd / abc</t>
        </is>
      </c>
      <c r="L156" s="4" t="inlineStr">
        <is>
          <t>[Known issue F-02 - current code differs] Blocked at the confirm field. Copy has a typo: "Please confirm you password".</t>
        </is>
      </c>
      <c r="M156" s="4" t="inlineStr">
        <is>
          <t>RPW-02</t>
        </is>
      </c>
      <c r="N156" s="4" t="inlineStr">
        <is>
          <t>ResetPasswordForm.tsx:37</t>
        </is>
      </c>
      <c r="O156" s="28" t="inlineStr">
        <is>
          <t>F-02</t>
        </is>
      </c>
      <c r="P156" s="29" t="n"/>
      <c r="Q156" s="30" t="inlineStr">
        <is>
          <t>Not Run</t>
        </is>
      </c>
      <c r="R156" s="30" t="n"/>
      <c r="S156" s="31" t="n"/>
      <c r="T156" s="29" t="n"/>
    </row>
    <row r="157" ht="49" customHeight="1">
      <c r="A157" s="27" t="inlineStr">
        <is>
          <t>TC-RPW-005</t>
        </is>
      </c>
      <c r="B157" s="4" t="inlineStr">
        <is>
          <t>Reset password</t>
        </is>
      </c>
      <c r="C157" s="4" t="inlineStr">
        <is>
          <t>Confirmation does not match</t>
        </is>
      </c>
      <c r="D157" s="28" t="inlineStr">
        <is>
          <t>Negative</t>
        </is>
      </c>
      <c r="E157" s="28" t="inlineStr">
        <is>
          <t>High</t>
        </is>
      </c>
      <c r="F157" s="28" t="inlineStr">
        <is>
          <t>UI</t>
        </is>
      </c>
      <c r="G157" s="28" t="inlineStr">
        <is>
          <t>Manual UI</t>
        </is>
      </c>
      <c r="H157" s="28" t="inlineStr">
        <is>
          <t>Core</t>
        </is>
      </c>
      <c r="I157" s="4" t="inlineStr">
        <is>
          <t>Reset code verified; user is on /reset-password with a recovery session.</t>
        </is>
      </c>
      <c r="J157" s="4" t="inlineStr">
        <is>
          <t>1. Enter different values in the two fields.</t>
        </is>
      </c>
      <c r="K157" s="4" t="inlineStr">
        <is>
          <t>Passw0rd1 / Passw0rd2</t>
        </is>
      </c>
      <c r="L157" s="4" t="inlineStr">
        <is>
          <t>Error "Password doesn't match" on the confirm field; no request.</t>
        </is>
      </c>
      <c r="M157" s="4" t="inlineStr">
        <is>
          <t>RPW-02</t>
        </is>
      </c>
      <c r="N157" s="4" t="inlineStr">
        <is>
          <t>ResetPasswordForm.tsx:39-42</t>
        </is>
      </c>
      <c r="O157" s="28" t="inlineStr"/>
      <c r="P157" s="29" t="n"/>
      <c r="Q157" s="30" t="inlineStr">
        <is>
          <t>Not Run</t>
        </is>
      </c>
      <c r="R157" s="30" t="n"/>
      <c r="S157" s="31" t="n"/>
      <c r="T157" s="29" t="n"/>
    </row>
    <row r="158" ht="49" customHeight="1">
      <c r="A158" s="27" t="inlineStr">
        <is>
          <t>TC-RPW-006</t>
        </is>
      </c>
      <c r="B158" s="4" t="inlineStr">
        <is>
          <t>Reset password</t>
        </is>
      </c>
      <c r="C158" s="4" t="inlineStr">
        <is>
          <t>Mismatch by case and by trailing space</t>
        </is>
      </c>
      <c r="D158" s="28" t="inlineStr">
        <is>
          <t>Edge</t>
        </is>
      </c>
      <c r="E158" s="28" t="inlineStr">
        <is>
          <t>Low</t>
        </is>
      </c>
      <c r="F158" s="28" t="inlineStr">
        <is>
          <t>UI</t>
        </is>
      </c>
      <c r="G158" s="28" t="inlineStr">
        <is>
          <t>Manual UI</t>
        </is>
      </c>
      <c r="H158" s="28" t="inlineStr">
        <is>
          <t>Extended</t>
        </is>
      </c>
      <c r="I158" s="4" t="inlineStr">
        <is>
          <t>Reset code verified; user is on /reset-password with a recovery session.</t>
        </is>
      </c>
      <c r="J158" s="4" t="inlineStr">
        <is>
          <t>1. Enter Passw0rd1 and passw0rd1; then Passw0rd1 and "Passw0rd1 ".</t>
        </is>
      </c>
      <c r="K158" s="4" t="inlineStr">
        <is>
          <t>case / trailing space</t>
        </is>
      </c>
      <c r="L158" s="4" t="inlineStr">
        <is>
          <t>Both are treated as mismatches.</t>
        </is>
      </c>
      <c r="M158" s="4" t="inlineStr">
        <is>
          <t>RPW-02</t>
        </is>
      </c>
      <c r="N158" s="4" t="inlineStr">
        <is>
          <t>ResetPasswordForm.tsx</t>
        </is>
      </c>
      <c r="O158" s="28" t="inlineStr"/>
      <c r="P158" s="29" t="n"/>
      <c r="Q158" s="30" t="inlineStr">
        <is>
          <t>Not Run</t>
        </is>
      </c>
      <c r="R158" s="30" t="n"/>
      <c r="S158" s="31" t="n"/>
      <c r="T158" s="29" t="n"/>
    </row>
    <row r="159" ht="49" customHeight="1">
      <c r="A159" s="27" t="inlineStr">
        <is>
          <t>TC-RPW-007</t>
        </is>
      </c>
      <c r="B159" s="4" t="inlineStr">
        <is>
          <t>Reset password</t>
        </is>
      </c>
      <c r="C159" s="4" t="inlineStr">
        <is>
          <t>Password with no digit should follow the registration policy</t>
        </is>
      </c>
      <c r="D159" s="28" t="inlineStr">
        <is>
          <t>Negative</t>
        </is>
      </c>
      <c r="E159" s="28" t="inlineStr">
        <is>
          <t>Medium</t>
        </is>
      </c>
      <c r="F159" s="28" t="inlineStr">
        <is>
          <t>UI</t>
        </is>
      </c>
      <c r="G159" s="28" t="inlineStr">
        <is>
          <t>Manual UI</t>
        </is>
      </c>
      <c r="H159" s="28" t="inlineStr">
        <is>
          <t>Extended</t>
        </is>
      </c>
      <c r="I159" s="4" t="inlineStr">
        <is>
          <t>Reset code verified; user is on /reset-password with a recovery session.</t>
        </is>
      </c>
      <c r="J159" s="4" t="inlineStr">
        <is>
          <t>1. Enter an 8-letter password with matching confirmation.</t>
        </is>
      </c>
      <c r="K159" s="4" t="inlineStr">
        <is>
          <t>Password</t>
        </is>
      </c>
      <c r="L159" s="4" t="inlineStr">
        <is>
          <t>[Known issue F-03 - current code differs] Should be rejected as in sign-up ("must include at least one number"). Currently accepted by the form and server.</t>
        </is>
      </c>
      <c r="M159" s="4" t="inlineStr">
        <is>
          <t>RPW-03</t>
        </is>
      </c>
      <c r="N159" s="4" t="inlineStr">
        <is>
          <t>ResetPasswordForm.tsx:36; auth.mutations.ts › resetPasswordFn</t>
        </is>
      </c>
      <c r="O159" s="28" t="inlineStr">
        <is>
          <t>F-03</t>
        </is>
      </c>
      <c r="P159" s="29" t="n"/>
      <c r="Q159" s="30" t="inlineStr">
        <is>
          <t>Not Run</t>
        </is>
      </c>
      <c r="R159" s="30" t="n"/>
      <c r="S159" s="31" t="n"/>
      <c r="T159" s="29" t="n"/>
    </row>
    <row r="160" ht="49" customHeight="1">
      <c r="A160" s="27" t="inlineStr">
        <is>
          <t>TC-RPW-008</t>
        </is>
      </c>
      <c r="B160" s="4" t="inlineStr">
        <is>
          <t>Reset password</t>
        </is>
      </c>
      <c r="C160" s="4" t="inlineStr">
        <is>
          <t>New password equals the current one</t>
        </is>
      </c>
      <c r="D160" s="28" t="inlineStr">
        <is>
          <t>Negative</t>
        </is>
      </c>
      <c r="E160" s="28" t="inlineStr">
        <is>
          <t>Medium</t>
        </is>
      </c>
      <c r="F160" s="28" t="inlineStr">
        <is>
          <t>UI</t>
        </is>
      </c>
      <c r="G160" s="28" t="inlineStr">
        <is>
          <t>Manual UI</t>
        </is>
      </c>
      <c r="H160" s="28" t="inlineStr">
        <is>
          <t>Extended</t>
        </is>
      </c>
      <c r="I160" s="4" t="inlineStr">
        <is>
          <t>Reset code verified; user is on /reset-password with a recovery session.</t>
        </is>
      </c>
      <c r="J160" s="4" t="inlineStr">
        <is>
          <t>1. Enter the account's current password as the new password.</t>
        </is>
      </c>
      <c r="K160" s="4" t="inlineStr">
        <is>
          <t>current password</t>
        </is>
      </c>
      <c r="L160" s="4" t="inlineStr">
        <is>
          <t>Alert/toast "Your new password must be different from your current password."; password unchanged.</t>
        </is>
      </c>
      <c r="M160" s="4" t="inlineStr">
        <is>
          <t>RPW-05</t>
        </is>
      </c>
      <c r="N160" s="4" t="inlineStr">
        <is>
          <t>auth.mutations.ts › resetPasswordFn:391-397</t>
        </is>
      </c>
      <c r="O160" s="28" t="inlineStr"/>
      <c r="P160" s="29" t="n"/>
      <c r="Q160" s="30" t="inlineStr">
        <is>
          <t>Not Run</t>
        </is>
      </c>
      <c r="R160" s="30" t="n"/>
      <c r="S160" s="31" t="n"/>
      <c r="T160" s="29" t="n"/>
    </row>
    <row r="161" ht="49" customHeight="1">
      <c r="A161" s="27" t="inlineStr">
        <is>
          <t>TC-RPW-009</t>
        </is>
      </c>
      <c r="B161" s="4" t="inlineStr">
        <is>
          <t>Reset password</t>
        </is>
      </c>
      <c r="C161" s="4" t="inlineStr">
        <is>
          <t>Opening /reset-password without a recovery session</t>
        </is>
      </c>
      <c r="D161" s="28" t="inlineStr">
        <is>
          <t>Negative</t>
        </is>
      </c>
      <c r="E161" s="28" t="inlineStr">
        <is>
          <t>Medium</t>
        </is>
      </c>
      <c r="F161" s="28" t="inlineStr">
        <is>
          <t>UI</t>
        </is>
      </c>
      <c r="G161" s="28" t="inlineStr">
        <is>
          <t>Manual UI</t>
        </is>
      </c>
      <c r="H161" s="28" t="inlineStr">
        <is>
          <t>Extended</t>
        </is>
      </c>
      <c r="I161" s="4" t="inlineStr">
        <is>
          <t>App running and reachable; tester is signed out.</t>
        </is>
      </c>
      <c r="J161" s="4" t="inlineStr">
        <is>
          <t>1. While signed out, open /reset-password directly.
2. Enter matching passwords and submit.</t>
        </is>
      </c>
      <c r="K161" s="4" t="inlineStr">
        <is>
          <t>signed-out user</t>
        </is>
      </c>
      <c r="L161" s="4" t="inlineStr">
        <is>
          <t>[Known issue F-09 - current code differs] Password is not changed. Message should say the reset session is missing or expired; currently the UI says "We could not reach the account service".</t>
        </is>
      </c>
      <c r="M161" s="4" t="inlineStr">
        <is>
          <t>RPW-06</t>
        </is>
      </c>
      <c r="N161" s="4" t="inlineStr">
        <is>
          <t>routes/reset-password.tsx; ResetPasswordForm.tsx:54-58</t>
        </is>
      </c>
      <c r="O161" s="28" t="inlineStr">
        <is>
          <t>F-09</t>
        </is>
      </c>
      <c r="P161" s="29" t="n"/>
      <c r="Q161" s="30" t="inlineStr">
        <is>
          <t>Not Run</t>
        </is>
      </c>
      <c r="R161" s="30" t="n"/>
      <c r="S161" s="31" t="n"/>
      <c r="T161" s="29" t="n"/>
    </row>
    <row r="162" ht="49" customHeight="1">
      <c r="A162" s="27" t="inlineStr">
        <is>
          <t>TC-RPW-010</t>
        </is>
      </c>
      <c r="B162" s="4" t="inlineStr">
        <is>
          <t>Reset password</t>
        </is>
      </c>
      <c r="C162" s="4" t="inlineStr">
        <is>
          <t>Recovery session ends before submit</t>
        </is>
      </c>
      <c r="D162" s="28" t="inlineStr">
        <is>
          <t>Edge</t>
        </is>
      </c>
      <c r="E162" s="28" t="inlineStr">
        <is>
          <t>Medium</t>
        </is>
      </c>
      <c r="F162" s="28" t="inlineStr">
        <is>
          <t>API</t>
        </is>
      </c>
      <c r="G162" s="28" t="inlineStr">
        <is>
          <t>Direct API call</t>
        </is>
      </c>
      <c r="H162" s="28" t="inlineStr">
        <is>
          <t>Extended</t>
        </is>
      </c>
      <c r="I162" s="4" t="inlineStr">
        <is>
          <t>App running and reachable; tester is signed out.</t>
        </is>
      </c>
      <c r="J162" s="4" t="inlineStr">
        <is>
          <t>1. Verify the code.
2. Revoke the session (or wait for expiry).
3. Submit the new password.</t>
        </is>
      </c>
      <c r="K162" s="4" t="inlineStr">
        <is>
          <t>—</t>
        </is>
      </c>
      <c r="L162" s="4" t="inlineStr">
        <is>
          <t>Request is rejected without changing the password and the user is told to request a new code.</t>
        </is>
      </c>
      <c r="M162" s="4" t="inlineStr">
        <is>
          <t>RPW-06, RPW-08</t>
        </is>
      </c>
      <c r="N162" s="4" t="inlineStr">
        <is>
          <t>requireActiveSession</t>
        </is>
      </c>
      <c r="O162" s="28" t="inlineStr"/>
      <c r="P162" s="29" t="n"/>
      <c r="Q162" s="30" t="inlineStr">
        <is>
          <t>Not Run</t>
        </is>
      </c>
      <c r="R162" s="30" t="n"/>
      <c r="S162" s="31" t="n"/>
      <c r="T162" s="29" t="n"/>
    </row>
    <row r="163" ht="49" customHeight="1">
      <c r="A163" s="27" t="inlineStr">
        <is>
          <t>TC-RPW-011</t>
        </is>
      </c>
      <c r="B163" s="4" t="inlineStr">
        <is>
          <t>Reset password</t>
        </is>
      </c>
      <c r="C163" s="4" t="inlineStr">
        <is>
          <t>Suspended account cannot reset a password</t>
        </is>
      </c>
      <c r="D163" s="28" t="inlineStr">
        <is>
          <t>Security</t>
        </is>
      </c>
      <c r="E163" s="28" t="inlineStr">
        <is>
          <t>High</t>
        </is>
      </c>
      <c r="F163" s="28" t="inlineStr">
        <is>
          <t>API</t>
        </is>
      </c>
      <c r="G163" s="28" t="inlineStr">
        <is>
          <t>Direct API call</t>
        </is>
      </c>
      <c r="H163" s="28" t="inlineStr">
        <is>
          <t>Core</t>
        </is>
      </c>
      <c r="I163" s="4" t="inlineStr">
        <is>
          <t>[ACC-03] suspended.</t>
        </is>
      </c>
      <c r="J163" s="4" t="inlineStr">
        <is>
          <t>1. Suspend the account.
2. Request, verify a reset code and attempt to set a password.</t>
        </is>
      </c>
      <c r="K163" s="4" t="inlineStr">
        <is>
          <t>[ACC-03]</t>
        </is>
      </c>
      <c r="L163" s="4" t="inlineStr">
        <is>
          <t>Password change is refused ("Account is not active"); user cannot reach any app page.</t>
        </is>
      </c>
      <c r="M163" s="4" t="inlineStr">
        <is>
          <t>RPW-09</t>
        </is>
      </c>
      <c r="N163" s="4" t="inlineStr">
        <is>
          <t>auth.mutations.ts › resetPasswordFn:384; server/auth.ts:95</t>
        </is>
      </c>
      <c r="O163" s="28" t="inlineStr"/>
      <c r="P163" s="29" t="n"/>
      <c r="Q163" s="30" t="inlineStr">
        <is>
          <t>Not Run</t>
        </is>
      </c>
      <c r="R163" s="30" t="n"/>
      <c r="S163" s="31" t="n"/>
      <c r="T163" s="29" t="n"/>
    </row>
    <row r="164" ht="49" customHeight="1">
      <c r="A164" s="27" t="inlineStr">
        <is>
          <t>TC-RPW-012</t>
        </is>
      </c>
      <c r="B164" s="4" t="inlineStr">
        <is>
          <t>Reset password</t>
        </is>
      </c>
      <c r="C164" s="4" t="inlineStr">
        <is>
          <t>Server enforces length and complexity independent of the form</t>
        </is>
      </c>
      <c r="D164" s="28" t="inlineStr">
        <is>
          <t>Security</t>
        </is>
      </c>
      <c r="E164" s="28" t="inlineStr">
        <is>
          <t>High</t>
        </is>
      </c>
      <c r="F164" s="28" t="inlineStr">
        <is>
          <t>API</t>
        </is>
      </c>
      <c r="G164" s="28" t="inlineStr">
        <is>
          <t>Direct API call</t>
        </is>
      </c>
      <c r="H164" s="28" t="inlineStr">
        <is>
          <t>Core</t>
        </is>
      </c>
      <c r="I164" s="4" t="inlineStr">
        <is>
          <t>Reset code verified; user is on /reset-password with a recovery session.</t>
        </is>
      </c>
      <c r="J164" s="4" t="inlineStr">
        <is>
          <t>1. Call resetPasswordFn directly with a 3-char password while holding a recovery session.</t>
        </is>
      </c>
      <c r="K164" s="4" t="inlineStr">
        <is>
          <t>"abc"</t>
        </is>
      </c>
      <c r="L164" s="4" t="inlineStr">
        <is>
          <t>[Known issue F-03 - current code differs] Server rejects it. Currently only the Supabase minimum applies, so a weak password may be accepted.</t>
        </is>
      </c>
      <c r="M164" s="4" t="inlineStr">
        <is>
          <t>RPW-11, RPW-03</t>
        </is>
      </c>
      <c r="N164" s="4" t="inlineStr">
        <is>
          <t>auth.mutations.ts › resetPasswordFn</t>
        </is>
      </c>
      <c r="O164" s="28" t="inlineStr">
        <is>
          <t>F-03</t>
        </is>
      </c>
      <c r="P164" s="29" t="n"/>
      <c r="Q164" s="30" t="inlineStr">
        <is>
          <t>Not Run</t>
        </is>
      </c>
      <c r="R164" s="30" t="n"/>
      <c r="S164" s="31" t="n"/>
      <c r="T164" s="29" t="n"/>
    </row>
    <row r="165" ht="49" customHeight="1">
      <c r="A165" s="27" t="inlineStr">
        <is>
          <t>TC-RPW-013</t>
        </is>
      </c>
      <c r="B165" s="4" t="inlineStr">
        <is>
          <t>Reset password</t>
        </is>
      </c>
      <c r="C165" s="4" t="inlineStr">
        <is>
          <t>Maximum password length</t>
        </is>
      </c>
      <c r="D165" s="28" t="inlineStr">
        <is>
          <t>Boundary</t>
        </is>
      </c>
      <c r="E165" s="28" t="inlineStr">
        <is>
          <t>Low</t>
        </is>
      </c>
      <c r="F165" s="28" t="inlineStr">
        <is>
          <t>UI</t>
        </is>
      </c>
      <c r="G165" s="28" t="inlineStr">
        <is>
          <t>Manual UI</t>
        </is>
      </c>
      <c r="H165" s="28" t="inlineStr">
        <is>
          <t>Extended</t>
        </is>
      </c>
      <c r="I165" s="4" t="inlineStr">
        <is>
          <t>Reset code verified; user is on /reset-password with a recovery session.</t>
        </is>
      </c>
      <c r="J165" s="4" t="inlineStr">
        <is>
          <t>1. Reset to 72-char then 73-char then 200-char passwords.</t>
        </is>
      </c>
      <c r="K165" s="4" t="inlineStr">
        <is>
          <t>"a"×71+"1" etc.</t>
        </is>
      </c>
      <c r="L165" s="4" t="inlineStr">
        <is>
          <t>[Possible issue F-15 - needs a runtime check] 72 chars works; longer values are rejected with a clear message or handled safely; never silently truncated.</t>
        </is>
      </c>
      <c r="M165" s="4" t="inlineStr">
        <is>
          <t>RPW-14</t>
        </is>
      </c>
      <c r="N165" s="4" t="inlineStr">
        <is>
          <t>auth.mutations.ts › resetPasswordFn</t>
        </is>
      </c>
      <c r="O165" s="28" t="inlineStr">
        <is>
          <t>F-15</t>
        </is>
      </c>
      <c r="P165" s="29" t="n"/>
      <c r="Q165" s="30" t="inlineStr">
        <is>
          <t>Not Run</t>
        </is>
      </c>
      <c r="R165" s="30" t="n"/>
      <c r="S165" s="31" t="n"/>
      <c r="T165" s="29" t="n"/>
    </row>
    <row r="166" ht="49" customHeight="1">
      <c r="A166" s="27" t="inlineStr">
        <is>
          <t>TC-RPW-014</t>
        </is>
      </c>
      <c r="B166" s="4" t="inlineStr">
        <is>
          <t>Reset password</t>
        </is>
      </c>
      <c r="C166" s="4" t="inlineStr">
        <is>
          <t>Show/hide toggles are independent</t>
        </is>
      </c>
      <c r="D166" s="28" t="inlineStr">
        <is>
          <t>Positive</t>
        </is>
      </c>
      <c r="E166" s="28" t="inlineStr">
        <is>
          <t>Low</t>
        </is>
      </c>
      <c r="F166" s="28" t="inlineStr">
        <is>
          <t>UI</t>
        </is>
      </c>
      <c r="G166" s="28" t="inlineStr">
        <is>
          <t>Manual UI</t>
        </is>
      </c>
      <c r="H166" s="28" t="inlineStr">
        <is>
          <t>Extended</t>
        </is>
      </c>
      <c r="I166" s="4" t="inlineStr">
        <is>
          <t>Reset code verified; user is on /reset-password with a recovery session.</t>
        </is>
      </c>
      <c r="J166" s="4" t="inlineStr">
        <is>
          <t>1. Toggle the first eye icon, then the second.</t>
        </is>
      </c>
      <c r="K166" s="4" t="inlineStr">
        <is>
          <t>—</t>
        </is>
      </c>
      <c r="L166" s="4" t="inlineStr">
        <is>
          <t>Each toggles only its own field.</t>
        </is>
      </c>
      <c r="M166" s="4" t="inlineStr">
        <is>
          <t>RPW-10</t>
        </is>
      </c>
      <c r="N166" s="4" t="inlineStr">
        <is>
          <t>ResetPasswordForm.tsx:152-155,192-197</t>
        </is>
      </c>
      <c r="O166" s="28" t="inlineStr"/>
      <c r="P166" s="29" t="n"/>
      <c r="Q166" s="30" t="inlineStr">
        <is>
          <t>Not Run</t>
        </is>
      </c>
      <c r="R166" s="30" t="n"/>
      <c r="S166" s="31" t="n"/>
      <c r="T166" s="29" t="n"/>
    </row>
    <row r="167" ht="64" customHeight="1">
      <c r="A167" s="27" t="inlineStr">
        <is>
          <t>TC-RPW-015</t>
        </is>
      </c>
      <c r="B167" s="4" t="inlineStr">
        <is>
          <t>Reset password</t>
        </is>
      </c>
      <c r="C167" s="4" t="inlineStr">
        <is>
          <t>Session state after a reset</t>
        </is>
      </c>
      <c r="D167" s="28" t="inlineStr">
        <is>
          <t>Edge</t>
        </is>
      </c>
      <c r="E167" s="28" t="inlineStr">
        <is>
          <t>Medium</t>
        </is>
      </c>
      <c r="F167" s="28" t="inlineStr">
        <is>
          <t>UI</t>
        </is>
      </c>
      <c r="G167" s="28" t="inlineStr">
        <is>
          <t>Manual UI</t>
        </is>
      </c>
      <c r="H167" s="28" t="inlineStr">
        <is>
          <t>Extended</t>
        </is>
      </c>
      <c r="I167" s="4" t="inlineStr">
        <is>
          <t>Reset code verified; user is on /reset-password with a recovery session.</t>
        </is>
      </c>
      <c r="J167" s="4" t="inlineStr">
        <is>
          <t>1. Complete a reset.
2. From /login manually open /dashboard.</t>
        </is>
      </c>
      <c r="K167" s="4" t="inlineStr">
        <is>
          <t>—</t>
        </is>
      </c>
      <c r="L167" s="4" t="inlineStr">
        <is>
          <t>[Possible issue F-17 - needs a runtime check] Behaviour is consistent and intentional: either the user was signed out by the reset or the recovery session remains and /dashboard loads. Other devices' sessions should be signed out.</t>
        </is>
      </c>
      <c r="M167" s="4" t="inlineStr">
        <is>
          <t>RPW-12</t>
        </is>
      </c>
      <c r="N167" s="4" t="inlineStr">
        <is>
          <t>useResetPassword.ts:15-19</t>
        </is>
      </c>
      <c r="O167" s="28" t="inlineStr">
        <is>
          <t>F-17</t>
        </is>
      </c>
      <c r="P167" s="29" t="n"/>
      <c r="Q167" s="30" t="inlineStr">
        <is>
          <t>Not Run</t>
        </is>
      </c>
      <c r="R167" s="30" t="n"/>
      <c r="S167" s="31" t="n"/>
      <c r="T167" s="29" t="n"/>
    </row>
    <row r="168" ht="49" customHeight="1">
      <c r="A168" s="27" t="inlineStr">
        <is>
          <t>TC-RPW-016</t>
        </is>
      </c>
      <c r="B168" s="4" t="inlineStr">
        <is>
          <t>Reset password</t>
        </is>
      </c>
      <c r="C168" s="4" t="inlineStr">
        <is>
          <t>Double-click Reset password</t>
        </is>
      </c>
      <c r="D168" s="28" t="inlineStr">
        <is>
          <t>Edge</t>
        </is>
      </c>
      <c r="E168" s="28" t="inlineStr">
        <is>
          <t>Low</t>
        </is>
      </c>
      <c r="F168" s="28" t="inlineStr">
        <is>
          <t>UI</t>
        </is>
      </c>
      <c r="G168" s="28" t="inlineStr">
        <is>
          <t>Manual UI</t>
        </is>
      </c>
      <c r="H168" s="28" t="inlineStr">
        <is>
          <t>Extended</t>
        </is>
      </c>
      <c r="I168" s="4" t="inlineStr">
        <is>
          <t>Reset code verified; user is on /reset-password with a recovery session.</t>
        </is>
      </c>
      <c r="J168" s="4" t="inlineStr">
        <is>
          <t>1. Double-click the button.</t>
        </is>
      </c>
      <c r="K168" s="4" t="inlineStr">
        <is>
          <t>valid values</t>
        </is>
      </c>
      <c r="L168" s="4" t="inlineStr">
        <is>
          <t>One update request; button disabled "Updating password".</t>
        </is>
      </c>
      <c r="M168" s="4" t="inlineStr">
        <is>
          <t>RPW-13</t>
        </is>
      </c>
      <c r="N168" s="4" t="inlineStr">
        <is>
          <t>ResetPasswordForm.tsx:207-221</t>
        </is>
      </c>
      <c r="O168" s="28" t="inlineStr"/>
      <c r="P168" s="29" t="n"/>
      <c r="Q168" s="30" t="inlineStr">
        <is>
          <t>Not Run</t>
        </is>
      </c>
      <c r="R168" s="30" t="n"/>
      <c r="S168" s="31" t="n"/>
      <c r="T168" s="29" t="n"/>
    </row>
    <row r="169" ht="49" customHeight="1">
      <c r="A169" s="27" t="inlineStr">
        <is>
          <t>TC-RPW-017</t>
        </is>
      </c>
      <c r="B169" s="4" t="inlineStr">
        <is>
          <t>Reset password</t>
        </is>
      </c>
      <c r="C169" s="4" t="inlineStr">
        <is>
          <t>Network failure while resetting</t>
        </is>
      </c>
      <c r="D169" s="28" t="inlineStr">
        <is>
          <t>Edge</t>
        </is>
      </c>
      <c r="E169" s="28" t="inlineStr">
        <is>
          <t>Medium</t>
        </is>
      </c>
      <c r="F169" s="28" t="inlineStr">
        <is>
          <t>UI</t>
        </is>
      </c>
      <c r="G169" s="28" t="inlineStr">
        <is>
          <t>Manual UI</t>
        </is>
      </c>
      <c r="H169" s="28" t="inlineStr">
        <is>
          <t>Extended</t>
        </is>
      </c>
      <c r="I169" s="4" t="inlineStr">
        <is>
          <t>Reset code verified; user is on /reset-password with a recovery session.</t>
        </is>
      </c>
      <c r="J169" s="4" t="inlineStr">
        <is>
          <t>1. Go offline and submit.</t>
        </is>
      </c>
      <c r="K169" s="4" t="inlineStr">
        <is>
          <t>valid values</t>
        </is>
      </c>
      <c r="L169" s="4" t="inlineStr">
        <is>
          <t>Alert "We could not reach the account service. Please try again in a moment."; values retained.</t>
        </is>
      </c>
      <c r="M169" s="4" t="inlineStr">
        <is>
          <t>RPW-08</t>
        </is>
      </c>
      <c r="N169" s="4" t="inlineStr">
        <is>
          <t>ResetPasswordForm.tsx:54-58</t>
        </is>
      </c>
      <c r="O169" s="28" t="inlineStr"/>
      <c r="P169" s="29" t="n"/>
      <c r="Q169" s="30" t="inlineStr">
        <is>
          <t>Not Run</t>
        </is>
      </c>
      <c r="R169" s="30" t="n"/>
      <c r="S169" s="31" t="n"/>
      <c r="T169" s="29" t="n"/>
    </row>
    <row r="170" ht="79" customHeight="1">
      <c r="A170" s="27" t="inlineStr">
        <is>
          <t>TC-CPW-001</t>
        </is>
      </c>
      <c r="B170" s="4" t="inlineStr">
        <is>
          <t>Change password</t>
        </is>
      </c>
      <c r="C170" s="4" t="inlineStr">
        <is>
          <t>Successful password change keeps the current session</t>
        </is>
      </c>
      <c r="D170" s="28" t="inlineStr">
        <is>
          <t>Positive</t>
        </is>
      </c>
      <c r="E170" s="28" t="inlineStr">
        <is>
          <t>High</t>
        </is>
      </c>
      <c r="F170" s="28" t="inlineStr">
        <is>
          <t>UI</t>
        </is>
      </c>
      <c r="G170" s="28" t="inlineStr">
        <is>
          <t>Manual UI</t>
        </is>
      </c>
      <c r="H170" s="28" t="inlineStr">
        <is>
          <t>Smoke</t>
        </is>
      </c>
      <c r="I170" s="4" t="inlineStr">
        <is>
          <t>Signed in as [ACC-01]; Settings → password panel open.</t>
        </is>
      </c>
      <c r="J170" s="4" t="inlineStr">
        <is>
          <t>1. Enter the current password, a new valid password and the same confirmation.
2. Submit.
3. Navigate to another page.
4. Sign out and sign in with the new password.</t>
        </is>
      </c>
      <c r="K170" s="4" t="inlineStr">
        <is>
          <t>Passw0rd1 → NewPassw0rd2</t>
        </is>
      </c>
      <c r="L170" s="4" t="inlineStr">
        <is>
          <t>Toast "Password updated."; the user is still signed in afterwards (verification does not revoke the live session); the new password signs in and the old one fails.</t>
        </is>
      </c>
      <c r="M170" s="4" t="inlineStr">
        <is>
          <t>CPW-07</t>
        </is>
      </c>
      <c r="N170" s="4" t="inlineStr">
        <is>
          <t>SettingsPasswordPanel.tsx; account.mutations.ts › changeMyPasswordFn:107-136</t>
        </is>
      </c>
      <c r="O170" s="28" t="inlineStr"/>
      <c r="P170" s="29" t="n"/>
      <c r="Q170" s="30" t="inlineStr">
        <is>
          <t>Not Run</t>
        </is>
      </c>
      <c r="R170" s="30" t="n"/>
      <c r="S170" s="31" t="n"/>
      <c r="T170" s="29" t="n"/>
    </row>
    <row r="171" ht="34" customHeight="1">
      <c r="A171" s="27" t="inlineStr">
        <is>
          <t>TC-CPW-002</t>
        </is>
      </c>
      <c r="B171" s="4" t="inlineStr">
        <is>
          <t>Change password</t>
        </is>
      </c>
      <c r="C171" s="4" t="inlineStr">
        <is>
          <t>Current password left empty</t>
        </is>
      </c>
      <c r="D171" s="28" t="inlineStr">
        <is>
          <t>Negative</t>
        </is>
      </c>
      <c r="E171" s="28" t="inlineStr">
        <is>
          <t>High</t>
        </is>
      </c>
      <c r="F171" s="28" t="inlineStr">
        <is>
          <t>UI</t>
        </is>
      </c>
      <c r="G171" s="28" t="inlineStr">
        <is>
          <t>Manual UI</t>
        </is>
      </c>
      <c r="H171" s="28" t="inlineStr">
        <is>
          <t>Core</t>
        </is>
      </c>
      <c r="I171" s="4" t="inlineStr">
        <is>
          <t>Signed in as [ACC-01]; Settings → password panel open.</t>
        </is>
      </c>
      <c r="J171" s="4" t="inlineStr">
        <is>
          <t>1. Leave the current password empty and fill the rest.</t>
        </is>
      </c>
      <c r="K171" s="4" t="inlineStr">
        <is>
          <t>""</t>
        </is>
      </c>
      <c r="L171" s="4" t="inlineStr">
        <is>
          <t>"Enter your current password"; no request.</t>
        </is>
      </c>
      <c r="M171" s="4" t="inlineStr">
        <is>
          <t>CPW-01</t>
        </is>
      </c>
      <c r="N171" s="4" t="inlineStr">
        <is>
          <t>SettingsPasswordPanel.tsx:26</t>
        </is>
      </c>
      <c r="O171" s="28" t="inlineStr"/>
      <c r="P171" s="29" t="n"/>
      <c r="Q171" s="30" t="inlineStr">
        <is>
          <t>Not Run</t>
        </is>
      </c>
      <c r="R171" s="30" t="n"/>
      <c r="S171" s="31" t="n"/>
      <c r="T171" s="29" t="n"/>
    </row>
    <row r="172" ht="34" customHeight="1">
      <c r="A172" s="27" t="inlineStr">
        <is>
          <t>TC-CPW-003</t>
        </is>
      </c>
      <c r="B172" s="4" t="inlineStr">
        <is>
          <t>Change password</t>
        </is>
      </c>
      <c r="C172" s="4" t="inlineStr">
        <is>
          <t>Wrong current password</t>
        </is>
      </c>
      <c r="D172" s="28" t="inlineStr">
        <is>
          <t>Negative</t>
        </is>
      </c>
      <c r="E172" s="28" t="inlineStr">
        <is>
          <t>High</t>
        </is>
      </c>
      <c r="F172" s="28" t="inlineStr">
        <is>
          <t>UI</t>
        </is>
      </c>
      <c r="G172" s="28" t="inlineStr">
        <is>
          <t>Manual UI</t>
        </is>
      </c>
      <c r="H172" s="28" t="inlineStr">
        <is>
          <t>Core</t>
        </is>
      </c>
      <c r="I172" s="4" t="inlineStr">
        <is>
          <t>Signed in as [ACC-01]; Settings → password panel open.</t>
        </is>
      </c>
      <c r="J172" s="4" t="inlineStr">
        <is>
          <t>1. Enter an incorrect current password with valid new passwords.</t>
        </is>
      </c>
      <c r="K172" s="4" t="inlineStr">
        <is>
          <t>WrongPass9</t>
        </is>
      </c>
      <c r="L172" s="4" t="inlineStr">
        <is>
          <t>Toast "Unable to update password" with "Your current password is incorrect."; password unchanged; live session unaffected.</t>
        </is>
      </c>
      <c r="M172" s="4" t="inlineStr">
        <is>
          <t>CPW-05</t>
        </is>
      </c>
      <c r="N172" s="4" t="inlineStr">
        <is>
          <t>account.mutations.ts › changeMyPasswordFn:117-119</t>
        </is>
      </c>
      <c r="O172" s="28" t="inlineStr"/>
      <c r="P172" s="29" t="n"/>
      <c r="Q172" s="30" t="inlineStr">
        <is>
          <t>Not Run</t>
        </is>
      </c>
      <c r="R172" s="30" t="n"/>
      <c r="S172" s="31" t="n"/>
      <c r="T172" s="29" t="n"/>
    </row>
    <row r="173" ht="34" customHeight="1">
      <c r="A173" s="27" t="inlineStr">
        <is>
          <t>TC-CPW-004</t>
        </is>
      </c>
      <c r="B173" s="4" t="inlineStr">
        <is>
          <t>Change password</t>
        </is>
      </c>
      <c r="C173" s="4" t="inlineStr">
        <is>
          <t>New password of 7 characters with a digit</t>
        </is>
      </c>
      <c r="D173" s="28" t="inlineStr">
        <is>
          <t>Boundary</t>
        </is>
      </c>
      <c r="E173" s="28" t="inlineStr">
        <is>
          <t>High</t>
        </is>
      </c>
      <c r="F173" s="28" t="inlineStr">
        <is>
          <t>UI</t>
        </is>
      </c>
      <c r="G173" s="28" t="inlineStr">
        <is>
          <t>Manual UI</t>
        </is>
      </c>
      <c r="H173" s="28" t="inlineStr">
        <is>
          <t>Core</t>
        </is>
      </c>
      <c r="I173" s="4" t="inlineStr">
        <is>
          <t>Signed in as [ACC-01]; Settings → password panel open.</t>
        </is>
      </c>
      <c r="J173" s="4" t="inlineStr">
        <is>
          <t>1. Enter a 7-char new password.</t>
        </is>
      </c>
      <c r="K173" s="4" t="inlineStr">
        <is>
          <t>Passw0r</t>
        </is>
      </c>
      <c r="L173" s="4" t="inlineStr">
        <is>
          <t>"Password must be at least 8 characters".</t>
        </is>
      </c>
      <c r="M173" s="4" t="inlineStr">
        <is>
          <t>CPW-02</t>
        </is>
      </c>
      <c r="N173" s="4" t="inlineStr">
        <is>
          <t>SettingsPasswordPanel.tsx:27-30</t>
        </is>
      </c>
      <c r="O173" s="28" t="inlineStr"/>
      <c r="P173" s="29" t="n"/>
      <c r="Q173" s="30" t="inlineStr">
        <is>
          <t>Not Run</t>
        </is>
      </c>
      <c r="R173" s="30" t="n"/>
      <c r="S173" s="31" t="n"/>
      <c r="T173" s="29" t="n"/>
    </row>
    <row r="174" ht="34" customHeight="1">
      <c r="A174" s="27" t="inlineStr">
        <is>
          <t>TC-CPW-005</t>
        </is>
      </c>
      <c r="B174" s="4" t="inlineStr">
        <is>
          <t>Change password</t>
        </is>
      </c>
      <c r="C174" s="4" t="inlineStr">
        <is>
          <t>New password of exactly 8 characters with a digit</t>
        </is>
      </c>
      <c r="D174" s="28" t="inlineStr">
        <is>
          <t>Boundary</t>
        </is>
      </c>
      <c r="E174" s="28" t="inlineStr">
        <is>
          <t>High</t>
        </is>
      </c>
      <c r="F174" s="28" t="inlineStr">
        <is>
          <t>UI</t>
        </is>
      </c>
      <c r="G174" s="28" t="inlineStr">
        <is>
          <t>Manual UI</t>
        </is>
      </c>
      <c r="H174" s="28" t="inlineStr">
        <is>
          <t>Core</t>
        </is>
      </c>
      <c r="I174" s="4" t="inlineStr">
        <is>
          <t>Signed in as [ACC-01]; Settings → password panel open.</t>
        </is>
      </c>
      <c r="J174" s="4" t="inlineStr">
        <is>
          <t>1. Enter an 8-char new password.</t>
        </is>
      </c>
      <c r="K174" s="4" t="inlineStr">
        <is>
          <t>Passw0r2</t>
        </is>
      </c>
      <c r="L174" s="4" t="inlineStr">
        <is>
          <t>Accepted and updated.</t>
        </is>
      </c>
      <c r="M174" s="4" t="inlineStr">
        <is>
          <t>CPW-02, CPW-07</t>
        </is>
      </c>
      <c r="N174" s="4" t="inlineStr">
        <is>
          <t>SettingsPasswordPanel.tsx</t>
        </is>
      </c>
      <c r="O174" s="28" t="inlineStr"/>
      <c r="P174" s="29" t="n"/>
      <c r="Q174" s="30" t="inlineStr">
        <is>
          <t>Not Run</t>
        </is>
      </c>
      <c r="R174" s="30" t="n"/>
      <c r="S174" s="31" t="n"/>
      <c r="T174" s="29" t="n"/>
    </row>
    <row r="175" ht="34" customHeight="1">
      <c r="A175" s="27" t="inlineStr">
        <is>
          <t>TC-CPW-006</t>
        </is>
      </c>
      <c r="B175" s="4" t="inlineStr">
        <is>
          <t>Change password</t>
        </is>
      </c>
      <c r="C175" s="4" t="inlineStr">
        <is>
          <t>New password without a digit</t>
        </is>
      </c>
      <c r="D175" s="28" t="inlineStr">
        <is>
          <t>Negative</t>
        </is>
      </c>
      <c r="E175" s="28" t="inlineStr">
        <is>
          <t>High</t>
        </is>
      </c>
      <c r="F175" s="28" t="inlineStr">
        <is>
          <t>UI</t>
        </is>
      </c>
      <c r="G175" s="28" t="inlineStr">
        <is>
          <t>Manual UI</t>
        </is>
      </c>
      <c r="H175" s="28" t="inlineStr">
        <is>
          <t>Core</t>
        </is>
      </c>
      <c r="I175" s="4" t="inlineStr">
        <is>
          <t>Signed in as [ACC-01]; Settings → password panel open.</t>
        </is>
      </c>
      <c r="J175" s="4" t="inlineStr">
        <is>
          <t>1. Enter 8 letters only.</t>
        </is>
      </c>
      <c r="K175" s="4" t="inlineStr">
        <is>
          <t>Password</t>
        </is>
      </c>
      <c r="L175" s="4" t="inlineStr">
        <is>
          <t>"Password must include at least one number".</t>
        </is>
      </c>
      <c r="M175" s="4" t="inlineStr">
        <is>
          <t>CPW-02</t>
        </is>
      </c>
      <c r="N175" s="4" t="inlineStr">
        <is>
          <t>SettingsPasswordPanel.tsx:30</t>
        </is>
      </c>
      <c r="O175" s="28" t="inlineStr"/>
      <c r="P175" s="29" t="n"/>
      <c r="Q175" s="30" t="inlineStr">
        <is>
          <t>Not Run</t>
        </is>
      </c>
      <c r="R175" s="30" t="n"/>
      <c r="S175" s="31" t="n"/>
      <c r="T175" s="29" t="n"/>
    </row>
    <row r="176" ht="34" customHeight="1">
      <c r="A176" s="27" t="inlineStr">
        <is>
          <t>TC-CPW-007</t>
        </is>
      </c>
      <c r="B176" s="4" t="inlineStr">
        <is>
          <t>Change password</t>
        </is>
      </c>
      <c r="C176" s="4" t="inlineStr">
        <is>
          <t>Confirmation mismatch</t>
        </is>
      </c>
      <c r="D176" s="28" t="inlineStr">
        <is>
          <t>Negative</t>
        </is>
      </c>
      <c r="E176" s="28" t="inlineStr">
        <is>
          <t>Medium</t>
        </is>
      </c>
      <c r="F176" s="28" t="inlineStr">
        <is>
          <t>UI</t>
        </is>
      </c>
      <c r="G176" s="28" t="inlineStr">
        <is>
          <t>Manual UI</t>
        </is>
      </c>
      <c r="H176" s="28" t="inlineStr">
        <is>
          <t>Extended</t>
        </is>
      </c>
      <c r="I176" s="4" t="inlineStr">
        <is>
          <t>Signed in as [ACC-01]; Settings → password panel open.</t>
        </is>
      </c>
      <c r="J176" s="4" t="inlineStr">
        <is>
          <t>1. Enter non-matching new and confirmation passwords.</t>
        </is>
      </c>
      <c r="K176" s="4" t="inlineStr">
        <is>
          <t>Passw0rd2 / Passw0rd3</t>
        </is>
      </c>
      <c r="L176" s="4" t="inlineStr">
        <is>
          <t>"Passwords do not match" on the confirmation field.</t>
        </is>
      </c>
      <c r="M176" s="4" t="inlineStr">
        <is>
          <t>CPW-03</t>
        </is>
      </c>
      <c r="N176" s="4" t="inlineStr">
        <is>
          <t>SettingsPasswordPanel.tsx:33-36</t>
        </is>
      </c>
      <c r="O176" s="28" t="inlineStr"/>
      <c r="P176" s="29" t="n"/>
      <c r="Q176" s="30" t="inlineStr">
        <is>
          <t>Not Run</t>
        </is>
      </c>
      <c r="R176" s="30" t="n"/>
      <c r="S176" s="31" t="n"/>
      <c r="T176" s="29" t="n"/>
    </row>
    <row r="177" ht="34" customHeight="1">
      <c r="A177" s="27" t="inlineStr">
        <is>
          <t>TC-CPW-008</t>
        </is>
      </c>
      <c r="B177" s="4" t="inlineStr">
        <is>
          <t>Change password</t>
        </is>
      </c>
      <c r="C177" s="4" t="inlineStr">
        <is>
          <t>New password identical to the current one</t>
        </is>
      </c>
      <c r="D177" s="28" t="inlineStr">
        <is>
          <t>Negative</t>
        </is>
      </c>
      <c r="E177" s="28" t="inlineStr">
        <is>
          <t>Medium</t>
        </is>
      </c>
      <c r="F177" s="28" t="inlineStr">
        <is>
          <t>UI</t>
        </is>
      </c>
      <c r="G177" s="28" t="inlineStr">
        <is>
          <t>Manual UI</t>
        </is>
      </c>
      <c r="H177" s="28" t="inlineStr">
        <is>
          <t>Extended</t>
        </is>
      </c>
      <c r="I177" s="4" t="inlineStr">
        <is>
          <t>Signed in as [ACC-01]; Settings → password panel open.</t>
        </is>
      </c>
      <c r="J177" s="4" t="inlineStr">
        <is>
          <t>1. Enter the current password as the new one.</t>
        </is>
      </c>
      <c r="K177" s="4" t="inlineStr">
        <is>
          <t>Passw0rd1 → Passw0rd1</t>
        </is>
      </c>
      <c r="L177" s="4" t="inlineStr">
        <is>
          <t>"Your new password must be different from your current password" on the new-password field.</t>
        </is>
      </c>
      <c r="M177" s="4" t="inlineStr">
        <is>
          <t>CPW-04</t>
        </is>
      </c>
      <c r="N177" s="4" t="inlineStr">
        <is>
          <t>SettingsPasswordPanel.tsx:37-40</t>
        </is>
      </c>
      <c r="O177" s="28" t="inlineStr"/>
      <c r="P177" s="29" t="n"/>
      <c r="Q177" s="30" t="inlineStr">
        <is>
          <t>Not Run</t>
        </is>
      </c>
      <c r="R177" s="30" t="n"/>
      <c r="S177" s="31" t="n"/>
      <c r="T177" s="29" t="n"/>
    </row>
    <row r="178" ht="34" customHeight="1">
      <c r="A178" s="27" t="inlineStr">
        <is>
          <t>TC-CPW-009</t>
        </is>
      </c>
      <c r="B178" s="4" t="inlineStr">
        <is>
          <t>Change password</t>
        </is>
      </c>
      <c r="C178" s="4" t="inlineStr">
        <is>
          <t>Server rejects a weak password sent directly</t>
        </is>
      </c>
      <c r="D178" s="28" t="inlineStr">
        <is>
          <t>Security</t>
        </is>
      </c>
      <c r="E178" s="28" t="inlineStr">
        <is>
          <t>High</t>
        </is>
      </c>
      <c r="F178" s="28" t="inlineStr">
        <is>
          <t>API</t>
        </is>
      </c>
      <c r="G178" s="28" t="inlineStr">
        <is>
          <t>Direct API call</t>
        </is>
      </c>
      <c r="H178" s="28" t="inlineStr">
        <is>
          <t>Core</t>
        </is>
      </c>
      <c r="I178" s="4" t="inlineStr">
        <is>
          <t>Signed in as [ACC-01]; Settings → password panel open.</t>
        </is>
      </c>
      <c r="J178" s="4" t="inlineStr">
        <is>
          <t>1. Call changeMyPasswordFn with the correct current password and a weak new password.</t>
        </is>
      </c>
      <c r="K178" s="4" t="inlineStr">
        <is>
          <t>new = "abc"</t>
        </is>
      </c>
      <c r="L178" s="4" t="inlineStr">
        <is>
          <t>Returns "Your new password must be at least 8 characters and include a number."; password unchanged.</t>
        </is>
      </c>
      <c r="M178" s="4" t="inlineStr">
        <is>
          <t>CPW-06</t>
        </is>
      </c>
      <c r="N178" s="4" t="inlineStr">
        <is>
          <t>account.mutations.ts › changeMyPasswordFn:99-105</t>
        </is>
      </c>
      <c r="O178" s="28" t="inlineStr"/>
      <c r="P178" s="29" t="n"/>
      <c r="Q178" s="30" t="inlineStr">
        <is>
          <t>Not Run</t>
        </is>
      </c>
      <c r="R178" s="30" t="n"/>
      <c r="S178" s="31" t="n"/>
      <c r="T178" s="29" t="n"/>
    </row>
    <row r="179" ht="34" customHeight="1">
      <c r="A179" s="27" t="inlineStr">
        <is>
          <t>TC-CPW-010</t>
        </is>
      </c>
      <c r="B179" s="4" t="inlineStr">
        <is>
          <t>Change password</t>
        </is>
      </c>
      <c r="C179" s="4" t="inlineStr">
        <is>
          <t>Server rejects reuse of the current password</t>
        </is>
      </c>
      <c r="D179" s="28" t="inlineStr">
        <is>
          <t>Negative</t>
        </is>
      </c>
      <c r="E179" s="28" t="inlineStr">
        <is>
          <t>Low</t>
        </is>
      </c>
      <c r="F179" s="28" t="inlineStr">
        <is>
          <t>API</t>
        </is>
      </c>
      <c r="G179" s="28" t="inlineStr">
        <is>
          <t>Direct API call</t>
        </is>
      </c>
      <c r="H179" s="28" t="inlineStr">
        <is>
          <t>Extended</t>
        </is>
      </c>
      <c r="I179" s="4" t="inlineStr">
        <is>
          <t>Signed in as [ACC-01]; Settings → password panel open.</t>
        </is>
      </c>
      <c r="J179" s="4" t="inlineStr">
        <is>
          <t>1. Call changeMyPasswordFn with new = current, bypassing the form.</t>
        </is>
      </c>
      <c r="K179" s="4" t="inlineStr">
        <is>
          <t>same password</t>
        </is>
      </c>
      <c r="L179" s="4" t="inlineStr">
        <is>
          <t>Returns "Your new password must be different from your current password."</t>
        </is>
      </c>
      <c r="M179" s="4" t="inlineStr">
        <is>
          <t>CPW-08</t>
        </is>
      </c>
      <c r="N179" s="4" t="inlineStr">
        <is>
          <t>account.mutations.ts › changeMyPasswordFn:125-131</t>
        </is>
      </c>
      <c r="O179" s="28" t="inlineStr"/>
      <c r="P179" s="29" t="n"/>
      <c r="Q179" s="30" t="inlineStr">
        <is>
          <t>Not Run</t>
        </is>
      </c>
      <c r="R179" s="30" t="n"/>
      <c r="S179" s="31" t="n"/>
      <c r="T179" s="29" t="n"/>
    </row>
    <row r="180" ht="34" customHeight="1">
      <c r="A180" s="27" t="inlineStr">
        <is>
          <t>TC-CPW-011</t>
        </is>
      </c>
      <c r="B180" s="4" t="inlineStr">
        <is>
          <t>Change password</t>
        </is>
      </c>
      <c r="C180" s="4" t="inlineStr">
        <is>
          <t>Unauthenticated call is rejected</t>
        </is>
      </c>
      <c r="D180" s="28" t="inlineStr">
        <is>
          <t>Security</t>
        </is>
      </c>
      <c r="E180" s="28" t="inlineStr">
        <is>
          <t>High</t>
        </is>
      </c>
      <c r="F180" s="28" t="inlineStr">
        <is>
          <t>API</t>
        </is>
      </c>
      <c r="G180" s="28" t="inlineStr">
        <is>
          <t>Direct API call</t>
        </is>
      </c>
      <c r="H180" s="28" t="inlineStr">
        <is>
          <t>Core</t>
        </is>
      </c>
      <c r="I180" s="4" t="inlineStr">
        <is>
          <t>App running and reachable; tester is signed out.</t>
        </is>
      </c>
      <c r="J180" s="4" t="inlineStr">
        <is>
          <t>1. Call changeMyPasswordFn with no session cookie.</t>
        </is>
      </c>
      <c r="K180" s="4" t="inlineStr">
        <is>
          <t>no cookie</t>
        </is>
      </c>
      <c r="L180" s="4" t="inlineStr">
        <is>
          <t>Rejected with "Unauthorized: not authenticated"; no password verification is attempted.</t>
        </is>
      </c>
      <c r="M180" s="4" t="inlineStr">
        <is>
          <t>CPW-10</t>
        </is>
      </c>
      <c r="N180" s="4" t="inlineStr">
        <is>
          <t>requireActiveSession</t>
        </is>
      </c>
      <c r="O180" s="28" t="inlineStr"/>
      <c r="P180" s="29" t="n"/>
      <c r="Q180" s="30" t="inlineStr">
        <is>
          <t>Not Run</t>
        </is>
      </c>
      <c r="R180" s="30" t="n"/>
      <c r="S180" s="31" t="n"/>
      <c r="T180" s="29" t="n"/>
    </row>
    <row r="181" ht="34" customHeight="1">
      <c r="A181" s="27" t="inlineStr">
        <is>
          <t>TC-CPW-012</t>
        </is>
      </c>
      <c r="B181" s="4" t="inlineStr">
        <is>
          <t>Change password</t>
        </is>
      </c>
      <c r="C181" s="4" t="inlineStr">
        <is>
          <t>Account without an email address</t>
        </is>
      </c>
      <c r="D181" s="28" t="inlineStr">
        <is>
          <t>Edge</t>
        </is>
      </c>
      <c r="E181" s="28" t="inlineStr">
        <is>
          <t>Low</t>
        </is>
      </c>
      <c r="F181" s="28" t="inlineStr">
        <is>
          <t>API</t>
        </is>
      </c>
      <c r="G181" s="28" t="inlineStr">
        <is>
          <t>Direct API call</t>
        </is>
      </c>
      <c r="H181" s="28" t="inlineStr">
        <is>
          <t>Extended</t>
        </is>
      </c>
      <c r="I181" s="4" t="inlineStr">
        <is>
          <t>App running and reachable; tester is signed out.</t>
        </is>
      </c>
      <c r="J181" s="4" t="inlineStr">
        <is>
          <t>1. Call changeMyPasswordFn for a session with no email claim.</t>
        </is>
      </c>
      <c r="K181" s="4" t="inlineStr">
        <is>
          <t>token without email</t>
        </is>
      </c>
      <c r="L181" s="4" t="inlineStr">
        <is>
          <t>Returns "This account has no email address on file."</t>
        </is>
      </c>
      <c r="M181" s="4" t="inlineStr">
        <is>
          <t>CPW-09</t>
        </is>
      </c>
      <c r="N181" s="4" t="inlineStr">
        <is>
          <t>account.mutations.ts › changeMyPasswordFn:92-97</t>
        </is>
      </c>
      <c r="O181" s="28" t="inlineStr"/>
      <c r="P181" s="29" t="n"/>
      <c r="Q181" s="30" t="inlineStr">
        <is>
          <t>Not Run</t>
        </is>
      </c>
      <c r="R181" s="30" t="n"/>
      <c r="S181" s="31" t="n"/>
      <c r="T181" s="29" t="n"/>
    </row>
    <row r="182" ht="64" customHeight="1">
      <c r="A182" s="27" t="inlineStr">
        <is>
          <t>TC-CPW-013</t>
        </is>
      </c>
      <c r="B182" s="4" t="inlineStr">
        <is>
          <t>Change password</t>
        </is>
      </c>
      <c r="C182" s="4" t="inlineStr">
        <is>
          <t>Repeated wrong current-password guesses</t>
        </is>
      </c>
      <c r="D182" s="28" t="inlineStr">
        <is>
          <t>Security</t>
        </is>
      </c>
      <c r="E182" s="28" t="inlineStr">
        <is>
          <t>Medium</t>
        </is>
      </c>
      <c r="F182" s="28" t="inlineStr">
        <is>
          <t>API</t>
        </is>
      </c>
      <c r="G182" s="28" t="inlineStr">
        <is>
          <t>Exploratory</t>
        </is>
      </c>
      <c r="H182" s="28" t="inlineStr">
        <is>
          <t>Extended</t>
        </is>
      </c>
      <c r="I182" s="4" t="inlineStr">
        <is>
          <t>Signed in as [ACC-01]; Settings → password panel open.</t>
        </is>
      </c>
      <c r="J182" s="4" t="inlineStr">
        <is>
          <t>1. Submit 10+ wrong current passwords from a hijacked session.</t>
        </is>
      </c>
      <c r="K182" s="4" t="inlineStr">
        <is>
          <t>wrong ×10+</t>
        </is>
      </c>
      <c r="L182" s="4" t="inlineStr">
        <is>
          <t>[Known issue F-08 - current code differs] Pass criteria: every wrong current password is refused and the password stays unchanged. Observation to record: the point at which a platform rate limit appears, and that no security event is written.</t>
        </is>
      </c>
      <c r="M182" s="4" t="inlineStr">
        <is>
          <t>CPW-11</t>
        </is>
      </c>
      <c r="N182" s="4" t="inlineStr">
        <is>
          <t>account.mutations.ts › changeMyPasswordFn:111-119</t>
        </is>
      </c>
      <c r="O182" s="28" t="inlineStr">
        <is>
          <t>F-08</t>
        </is>
      </c>
      <c r="P182" s="29" t="n"/>
      <c r="Q182" s="30" t="inlineStr">
        <is>
          <t>Not Run</t>
        </is>
      </c>
      <c r="R182" s="30" t="n"/>
      <c r="S182" s="31" t="n"/>
      <c r="T182" s="29" t="n"/>
    </row>
    <row r="183" ht="34" customHeight="1">
      <c r="A183" s="27" t="inlineStr">
        <is>
          <t>TC-CPW-014</t>
        </is>
      </c>
      <c r="B183" s="4" t="inlineStr">
        <is>
          <t>Change password</t>
        </is>
      </c>
      <c r="C183" s="4" t="inlineStr">
        <is>
          <t>Suspended user cannot change password</t>
        </is>
      </c>
      <c r="D183" s="28" t="inlineStr">
        <is>
          <t>Security</t>
        </is>
      </c>
      <c r="E183" s="28" t="inlineStr">
        <is>
          <t>High</t>
        </is>
      </c>
      <c r="F183" s="28" t="inlineStr">
        <is>
          <t>API</t>
        </is>
      </c>
      <c r="G183" s="28" t="inlineStr">
        <is>
          <t>Direct API call</t>
        </is>
      </c>
      <c r="H183" s="28" t="inlineStr">
        <is>
          <t>Core</t>
        </is>
      </c>
      <c r="I183" s="4" t="inlineStr">
        <is>
          <t>Signed in as [ACC-01]; Settings → password panel open.</t>
        </is>
      </c>
      <c r="J183" s="4" t="inlineStr">
        <is>
          <t>1. Suspend [ACC-01] while the panel is open.
2. Submit a valid change.</t>
        </is>
      </c>
      <c r="K183" s="4" t="inlineStr">
        <is>
          <t>[ACC-01] suspended mid-session</t>
        </is>
      </c>
      <c r="L183" s="4" t="inlineStr">
        <is>
          <t>Refused ("Account is not active"); password unchanged.</t>
        </is>
      </c>
      <c r="M183" s="4" t="inlineStr">
        <is>
          <t>CPW-10, SES-03</t>
        </is>
      </c>
      <c r="N183" s="4" t="inlineStr">
        <is>
          <t>requireActiveSession:95</t>
        </is>
      </c>
      <c r="O183" s="28" t="inlineStr"/>
      <c r="P183" s="29" t="n"/>
      <c r="Q183" s="30" t="inlineStr">
        <is>
          <t>Not Run</t>
        </is>
      </c>
      <c r="R183" s="30" t="n"/>
      <c r="S183" s="31" t="n"/>
      <c r="T183" s="29" t="n"/>
    </row>
    <row r="184" ht="64" customHeight="1">
      <c r="A184" s="27" t="inlineStr">
        <is>
          <t>TC-OAU-001</t>
        </is>
      </c>
      <c r="B184" s="4" t="inlineStr">
        <is>
          <t>OAuth &amp; callback</t>
        </is>
      </c>
      <c r="C184" s="4" t="inlineStr">
        <is>
          <t>Google sign-in for a new user with names</t>
        </is>
      </c>
      <c r="D184" s="28" t="inlineStr">
        <is>
          <t>Positive</t>
        </is>
      </c>
      <c r="E184" s="28" t="inlineStr">
        <is>
          <t>High</t>
        </is>
      </c>
      <c r="F184" s="28" t="inlineStr">
        <is>
          <t>UI</t>
        </is>
      </c>
      <c r="G184" s="28" t="inlineStr">
        <is>
          <t>Manual UI</t>
        </is>
      </c>
      <c r="H184" s="28" t="inlineStr">
        <is>
          <t>Smoke</t>
        </is>
      </c>
      <c r="I184" s="4" t="inlineStr">
        <is>
          <t>App running and reachable; tester is signed out.</t>
        </is>
      </c>
      <c r="J184" s="4" t="inlineStr">
        <is>
          <t>1. On /login click "Sign in with Google".
2. Complete consent with a new Google account.</t>
        </is>
      </c>
      <c r="K184" s="4" t="inlineStr">
        <is>
          <t>[ACC-10]</t>
        </is>
      </c>
      <c r="L184" s="4" t="inlineStr">
        <is>
          <t>Redirected to Google then back via /auth/callback to /dashboard; profile created with role applicant and first/last name from Google; session event recorded as "social sign-in" only for personnel roles.</t>
        </is>
      </c>
      <c r="M184" s="4" t="inlineStr">
        <is>
          <t>OAU-01, OAU-03, OAU-09</t>
        </is>
      </c>
      <c r="N184" s="4" t="inlineStr">
        <is>
          <t>auth/callback.tsx; useOAuthLogin.ts</t>
        </is>
      </c>
      <c r="O184" s="28" t="inlineStr"/>
      <c r="P184" s="29" t="n"/>
      <c r="Q184" s="30" t="inlineStr">
        <is>
          <t>Not Run</t>
        </is>
      </c>
      <c r="R184" s="30" t="n"/>
      <c r="S184" s="31" t="n"/>
      <c r="T184" s="29" t="n"/>
    </row>
    <row r="185" ht="34" customHeight="1">
      <c r="A185" s="27" t="inlineStr">
        <is>
          <t>TC-OAU-002</t>
        </is>
      </c>
      <c r="B185" s="4" t="inlineStr">
        <is>
          <t>OAuth &amp; callback</t>
        </is>
      </c>
      <c r="C185" s="4" t="inlineStr">
        <is>
          <t>Google sign-up button on the sign-up page</t>
        </is>
      </c>
      <c r="D185" s="28" t="inlineStr">
        <is>
          <t>Positive</t>
        </is>
      </c>
      <c r="E185" s="28" t="inlineStr">
        <is>
          <t>Medium</t>
        </is>
      </c>
      <c r="F185" s="28" t="inlineStr">
        <is>
          <t>UI</t>
        </is>
      </c>
      <c r="G185" s="28" t="inlineStr">
        <is>
          <t>Manual UI</t>
        </is>
      </c>
      <c r="H185" s="28" t="inlineStr">
        <is>
          <t>Extended</t>
        </is>
      </c>
      <c r="I185" s="4" t="inlineStr">
        <is>
          <t>App running and reachable; tester is signed out.</t>
        </is>
      </c>
      <c r="J185" s="4" t="inlineStr">
        <is>
          <t>1. On /signup click "Sign up with Google".</t>
        </is>
      </c>
      <c r="K185" s="4" t="inlineStr">
        <is>
          <t>[ACC-10]</t>
        </is>
      </c>
      <c r="L185" s="4" t="inlineStr">
        <is>
          <t>Same flow and outcome as sign-in with Google.</t>
        </is>
      </c>
      <c r="M185" s="4" t="inlineStr">
        <is>
          <t>OAU-01</t>
        </is>
      </c>
      <c r="N185" s="4" t="inlineStr">
        <is>
          <t>RegisterForm.tsx:396-404</t>
        </is>
      </c>
      <c r="O185" s="28" t="inlineStr"/>
      <c r="P185" s="29" t="n"/>
      <c r="Q185" s="30" t="inlineStr">
        <is>
          <t>Not Run</t>
        </is>
      </c>
      <c r="R185" s="30" t="n"/>
      <c r="S185" s="31" t="n"/>
      <c r="T185" s="29" t="n"/>
    </row>
    <row r="186" ht="49" customHeight="1">
      <c r="A186" s="27" t="inlineStr">
        <is>
          <t>TC-OAU-003</t>
        </is>
      </c>
      <c r="B186" s="4" t="inlineStr">
        <is>
          <t>OAuth &amp; callback</t>
        </is>
      </c>
      <c r="C186" s="4" t="inlineStr">
        <is>
          <t>Google account with a blank given/family name is sent to onboarding</t>
        </is>
      </c>
      <c r="D186" s="28" t="inlineStr">
        <is>
          <t>Edge</t>
        </is>
      </c>
      <c r="E186" s="28" t="inlineStr">
        <is>
          <t>High</t>
        </is>
      </c>
      <c r="F186" s="28" t="inlineStr">
        <is>
          <t>UI</t>
        </is>
      </c>
      <c r="G186" s="28" t="inlineStr">
        <is>
          <t>Manual UI</t>
        </is>
      </c>
      <c r="H186" s="28" t="inlineStr">
        <is>
          <t>Core</t>
        </is>
      </c>
      <c r="I186" s="4" t="inlineStr">
        <is>
          <t>App running and reachable; tester is signed out.</t>
        </is>
      </c>
      <c r="J186" s="4" t="inlineStr">
        <is>
          <t>1. Sign in with the nameless Google account.
2. Try to open /dashboard and /requests.</t>
        </is>
      </c>
      <c r="K186" s="4" t="inlineStr">
        <is>
          <t>[ACC-11]</t>
        </is>
      </c>
      <c r="L186" s="4" t="inlineStr">
        <is>
          <t>User is forced to /onboarding until both names are set; deep links bounce back to /onboarding; after saving names /onboarding redirects to /dashboard.</t>
        </is>
      </c>
      <c r="M186" s="4" t="inlineStr">
        <is>
          <t>OAU-08, SES-12</t>
        </is>
      </c>
      <c r="N186" s="4" t="inlineStr">
        <is>
          <t>_authed/route.tsx:50-58</t>
        </is>
      </c>
      <c r="O186" s="28" t="inlineStr"/>
      <c r="P186" s="29" t="n"/>
      <c r="Q186" s="30" t="inlineStr">
        <is>
          <t>Not Run</t>
        </is>
      </c>
      <c r="R186" s="30" t="n"/>
      <c r="S186" s="31" t="n"/>
      <c r="T186" s="29" t="n"/>
    </row>
    <row r="187" ht="34" customHeight="1">
      <c r="A187" s="27" t="inlineStr">
        <is>
          <t>TC-OAU-004</t>
        </is>
      </c>
      <c r="B187" s="4" t="inlineStr">
        <is>
          <t>OAuth &amp; callback</t>
        </is>
      </c>
      <c r="C187" s="4" t="inlineStr">
        <is>
          <t>Existing email/password user signs in with Google using the same email</t>
        </is>
      </c>
      <c r="D187" s="28" t="inlineStr">
        <is>
          <t>Edge</t>
        </is>
      </c>
      <c r="E187" s="28" t="inlineStr">
        <is>
          <t>Medium</t>
        </is>
      </c>
      <c r="F187" s="28" t="inlineStr">
        <is>
          <t>UI</t>
        </is>
      </c>
      <c r="G187" s="28" t="inlineStr">
        <is>
          <t>Manual UI</t>
        </is>
      </c>
      <c r="H187" s="28" t="inlineStr">
        <is>
          <t>Extended</t>
        </is>
      </c>
      <c r="I187" s="4" t="inlineStr">
        <is>
          <t>App running and reachable; tester is signed out.</t>
        </is>
      </c>
      <c r="J187" s="4" t="inlineStr">
        <is>
          <t>1. Create an email+password account.
2. Sign in with Google using the same email.</t>
        </is>
      </c>
      <c r="K187" s="4" t="inlineStr">
        <is>
          <t>[ACC-01] email on Google</t>
        </is>
      </c>
      <c r="L187" s="4" t="inlineStr">
        <is>
          <t>Identities link (or the provider refuses) without creating a duplicate profile, changing the role, or exposing another user's data.</t>
        </is>
      </c>
      <c r="M187" s="4" t="inlineStr">
        <is>
          <t>OAU-12</t>
        </is>
      </c>
      <c r="N187" s="4" t="inlineStr">
        <is>
          <t>loginWithOAuthFn</t>
        </is>
      </c>
      <c r="O187" s="28" t="inlineStr"/>
      <c r="P187" s="29" t="n"/>
      <c r="Q187" s="30" t="inlineStr">
        <is>
          <t>Not Run</t>
        </is>
      </c>
      <c r="R187" s="30" t="n"/>
      <c r="S187" s="31" t="n"/>
      <c r="T187" s="29" t="n"/>
    </row>
    <row r="188" ht="34" customHeight="1">
      <c r="A188" s="27" t="inlineStr">
        <is>
          <t>TC-OAU-005</t>
        </is>
      </c>
      <c r="B188" s="4" t="inlineStr">
        <is>
          <t>OAuth &amp; callback</t>
        </is>
      </c>
      <c r="C188" s="4" t="inlineStr">
        <is>
          <t>User denies consent at Google</t>
        </is>
      </c>
      <c r="D188" s="28" t="inlineStr">
        <is>
          <t>Negative</t>
        </is>
      </c>
      <c r="E188" s="28" t="inlineStr">
        <is>
          <t>Medium</t>
        </is>
      </c>
      <c r="F188" s="28" t="inlineStr">
        <is>
          <t>UI</t>
        </is>
      </c>
      <c r="G188" s="28" t="inlineStr">
        <is>
          <t>Manual UI</t>
        </is>
      </c>
      <c r="H188" s="28" t="inlineStr">
        <is>
          <t>Extended</t>
        </is>
      </c>
      <c r="I188" s="4" t="inlineStr">
        <is>
          <t>App running and reachable; tester is signed out.</t>
        </is>
      </c>
      <c r="J188" s="4" t="inlineStr">
        <is>
          <t>1. Start Google sign-in.
2. Click Cancel/deny on the consent screen.</t>
        </is>
      </c>
      <c r="K188" s="4" t="inlineStr">
        <is>
          <t>—</t>
        </is>
      </c>
      <c r="L188" s="4" t="inlineStr">
        <is>
          <t>Returns to /login with the banner "This authentication link is invalid or has expired."; no session.</t>
        </is>
      </c>
      <c r="M188" s="4" t="inlineStr">
        <is>
          <t>OAU-06</t>
        </is>
      </c>
      <c r="N188" s="4" t="inlineStr">
        <is>
          <t>auth/callback.tsx:70-76</t>
        </is>
      </c>
      <c r="O188" s="28" t="inlineStr"/>
      <c r="P188" s="29" t="n"/>
      <c r="Q188" s="30" t="inlineStr">
        <is>
          <t>Not Run</t>
        </is>
      </c>
      <c r="R188" s="30" t="n"/>
      <c r="S188" s="31" t="n"/>
      <c r="T188" s="29" t="n"/>
    </row>
    <row r="189" ht="49" customHeight="1">
      <c r="A189" s="27" t="inlineStr">
        <is>
          <t>TC-OAU-006</t>
        </is>
      </c>
      <c r="B189" s="4" t="inlineStr">
        <is>
          <t>OAuth &amp; callback</t>
        </is>
      </c>
      <c r="C189" s="4" t="inlineStr">
        <is>
          <t>Provider initiation error</t>
        </is>
      </c>
      <c r="D189" s="28" t="inlineStr">
        <is>
          <t>Negative</t>
        </is>
      </c>
      <c r="E189" s="28" t="inlineStr">
        <is>
          <t>Medium</t>
        </is>
      </c>
      <c r="F189" s="28" t="inlineStr">
        <is>
          <t>API</t>
        </is>
      </c>
      <c r="G189" s="28" t="inlineStr">
        <is>
          <t>Stub (temp edit)</t>
        </is>
      </c>
      <c r="H189" s="28" t="inlineStr">
        <is>
          <t>Extended</t>
        </is>
      </c>
      <c r="I189" s="4" t="inlineStr">
        <is>
          <t>App running and reachable; tester is signed out.</t>
        </is>
      </c>
      <c r="J189" s="4" t="inlineStr">
        <is>
          <t>1. Disable the Google provider (or stub signInWithOAuth error).
2. Click the Google button.</t>
        </is>
      </c>
      <c r="K189" s="4" t="inlineStr">
        <is>
          <t>provider disabled</t>
        </is>
      </c>
      <c r="L189" s="4" t="inlineStr">
        <is>
          <t>Toast "Unable to sign in" with the error (or "OAuth sign in failed."); button re-enabled; no redirect.</t>
        </is>
      </c>
      <c r="M189" s="4" t="inlineStr">
        <is>
          <t>OAU-02</t>
        </is>
      </c>
      <c r="N189" s="4" t="inlineStr">
        <is>
          <t>useOAuthLogin.ts:11-18; loginWithOAuthFn:154-160</t>
        </is>
      </c>
      <c r="O189" s="28" t="inlineStr"/>
      <c r="P189" s="29" t="n"/>
      <c r="Q189" s="30" t="inlineStr">
        <is>
          <t>Not Run</t>
        </is>
      </c>
      <c r="R189" s="30" t="n"/>
      <c r="S189" s="31" t="n"/>
      <c r="T189" s="29" t="n"/>
    </row>
    <row r="190" ht="34" customHeight="1">
      <c r="A190" s="27" t="inlineStr">
        <is>
          <t>TC-OAU-007</t>
        </is>
      </c>
      <c r="B190" s="4" t="inlineStr">
        <is>
          <t>OAuth &amp; callback</t>
        </is>
      </c>
      <c r="C190" s="4" t="inlineStr">
        <is>
          <t>Double-click on the Google button</t>
        </is>
      </c>
      <c r="D190" s="28" t="inlineStr">
        <is>
          <t>Edge</t>
        </is>
      </c>
      <c r="E190" s="28" t="inlineStr">
        <is>
          <t>Low</t>
        </is>
      </c>
      <c r="F190" s="28" t="inlineStr">
        <is>
          <t>UI</t>
        </is>
      </c>
      <c r="G190" s="28" t="inlineStr">
        <is>
          <t>Manual UI</t>
        </is>
      </c>
      <c r="H190" s="28" t="inlineStr">
        <is>
          <t>Extended</t>
        </is>
      </c>
      <c r="I190" s="4" t="inlineStr">
        <is>
          <t>App running and reachable; tester is signed out.</t>
        </is>
      </c>
      <c r="J190" s="4" t="inlineStr">
        <is>
          <t>1. Double-click "Sign in with Google".</t>
        </is>
      </c>
      <c r="K190" s="4" t="inlineStr">
        <is>
          <t>—</t>
        </is>
      </c>
      <c r="L190" s="4" t="inlineStr">
        <is>
          <t>Button disabled while pending; one redirect to the provider.</t>
        </is>
      </c>
      <c r="M190" s="4" t="inlineStr">
        <is>
          <t>OAU-14</t>
        </is>
      </c>
      <c r="N190" s="4" t="inlineStr">
        <is>
          <t>LoginForm.tsx:287-297</t>
        </is>
      </c>
      <c r="O190" s="28" t="inlineStr"/>
      <c r="P190" s="29" t="n"/>
      <c r="Q190" s="30" t="inlineStr">
        <is>
          <t>Not Run</t>
        </is>
      </c>
      <c r="R190" s="30" t="n"/>
      <c r="S190" s="31" t="n"/>
      <c r="T190" s="29" t="n"/>
    </row>
    <row r="191" ht="34" customHeight="1">
      <c r="A191" s="27" t="inlineStr">
        <is>
          <t>TC-OAU-008</t>
        </is>
      </c>
      <c r="B191" s="4" t="inlineStr">
        <is>
          <t>OAuth &amp; callback</t>
        </is>
      </c>
      <c r="C191" s="4" t="inlineStr">
        <is>
          <t>Callback with an invalid or expired code</t>
        </is>
      </c>
      <c r="D191" s="28" t="inlineStr">
        <is>
          <t>Negative</t>
        </is>
      </c>
      <c r="E191" s="28" t="inlineStr">
        <is>
          <t>High</t>
        </is>
      </c>
      <c r="F191" s="28" t="inlineStr">
        <is>
          <t>UI</t>
        </is>
      </c>
      <c r="G191" s="28" t="inlineStr">
        <is>
          <t>Manual UI</t>
        </is>
      </c>
      <c r="H191" s="28" t="inlineStr">
        <is>
          <t>Core</t>
        </is>
      </c>
      <c r="I191" s="4" t="inlineStr">
        <is>
          <t>App running and reachable; tester is signed out.</t>
        </is>
      </c>
      <c r="J191" s="4" t="inlineStr">
        <is>
          <t>1. Open /auth/callback?code=invalid.</t>
        </is>
      </c>
      <c r="K191" s="4" t="inlineStr">
        <is>
          <t>code=invalid</t>
        </is>
      </c>
      <c r="L191" s="4" t="inlineStr">
        <is>
          <t>Redirected to /login?error=&lt;message&gt;; banner shows the message; no session.</t>
        </is>
      </c>
      <c r="M191" s="4" t="inlineStr">
        <is>
          <t>OAU-04</t>
        </is>
      </c>
      <c r="N191" s="4" t="inlineStr">
        <is>
          <t>auth/callback.tsx:56-69</t>
        </is>
      </c>
      <c r="O191" s="28" t="inlineStr"/>
      <c r="P191" s="29" t="n"/>
      <c r="Q191" s="30" t="inlineStr">
        <is>
          <t>Not Run</t>
        </is>
      </c>
      <c r="R191" s="30" t="n"/>
      <c r="S191" s="31" t="n"/>
      <c r="T191" s="29" t="n"/>
    </row>
    <row r="192" ht="34" customHeight="1">
      <c r="A192" s="27" t="inlineStr">
        <is>
          <t>TC-OAU-009</t>
        </is>
      </c>
      <c r="B192" s="4" t="inlineStr">
        <is>
          <t>OAuth &amp; callback</t>
        </is>
      </c>
      <c r="C192" s="4" t="inlineStr">
        <is>
          <t>Callback code used twice</t>
        </is>
      </c>
      <c r="D192" s="28" t="inlineStr">
        <is>
          <t>Edge</t>
        </is>
      </c>
      <c r="E192" s="28" t="inlineStr">
        <is>
          <t>Medium</t>
        </is>
      </c>
      <c r="F192" s="28" t="inlineStr">
        <is>
          <t>UI</t>
        </is>
      </c>
      <c r="G192" s="28" t="inlineStr">
        <is>
          <t>Manual UI</t>
        </is>
      </c>
      <c r="H192" s="28" t="inlineStr">
        <is>
          <t>Extended</t>
        </is>
      </c>
      <c r="I192" s="4" t="inlineStr">
        <is>
          <t>App running and reachable; tester is signed out.</t>
        </is>
      </c>
      <c r="J192" s="4" t="inlineStr">
        <is>
          <t>1. Complete a Google sign-in.
2. Replay the same callback URL.</t>
        </is>
      </c>
      <c r="K192" s="4" t="inlineStr">
        <is>
          <t>reused code</t>
        </is>
      </c>
      <c r="L192" s="4" t="inlineStr">
        <is>
          <t>Second use fails with the login banner; no second session.</t>
        </is>
      </c>
      <c r="M192" s="4" t="inlineStr">
        <is>
          <t>OAU-04</t>
        </is>
      </c>
      <c r="N192" s="4" t="inlineStr">
        <is>
          <t>auth/callback.tsx</t>
        </is>
      </c>
      <c r="O192" s="28" t="inlineStr"/>
      <c r="P192" s="29" t="n"/>
      <c r="Q192" s="30" t="inlineStr">
        <is>
          <t>Not Run</t>
        </is>
      </c>
      <c r="R192" s="30" t="n"/>
      <c r="S192" s="31" t="n"/>
      <c r="T192" s="29" t="n"/>
    </row>
    <row r="193" ht="34" customHeight="1">
      <c r="A193" s="27" t="inlineStr">
        <is>
          <t>TC-OAU-010</t>
        </is>
      </c>
      <c r="B193" s="4" t="inlineStr">
        <is>
          <t>OAuth &amp; callback</t>
        </is>
      </c>
      <c r="C193" s="4" t="inlineStr">
        <is>
          <t>Callback with no parameters</t>
        </is>
      </c>
      <c r="D193" s="28" t="inlineStr">
        <is>
          <t>Negative</t>
        </is>
      </c>
      <c r="E193" s="28" t="inlineStr">
        <is>
          <t>Medium</t>
        </is>
      </c>
      <c r="F193" s="28" t="inlineStr">
        <is>
          <t>UI</t>
        </is>
      </c>
      <c r="G193" s="28" t="inlineStr">
        <is>
          <t>Manual UI</t>
        </is>
      </c>
      <c r="H193" s="28" t="inlineStr">
        <is>
          <t>Extended</t>
        </is>
      </c>
      <c r="I193" s="4" t="inlineStr">
        <is>
          <t>App running and reachable; tester is signed out.</t>
        </is>
      </c>
      <c r="J193" s="4" t="inlineStr">
        <is>
          <t>1. Open /auth/callback.</t>
        </is>
      </c>
      <c r="K193" s="4" t="inlineStr">
        <is>
          <t>no query</t>
        </is>
      </c>
      <c r="L193" s="4" t="inlineStr">
        <is>
          <t>Redirect to /login with "This authentication link is invalid or has expired."</t>
        </is>
      </c>
      <c r="M193" s="4" t="inlineStr">
        <is>
          <t>OAU-06</t>
        </is>
      </c>
      <c r="N193" s="4" t="inlineStr">
        <is>
          <t>auth/callback.tsx:70-76</t>
        </is>
      </c>
      <c r="O193" s="28" t="inlineStr"/>
      <c r="P193" s="29" t="n"/>
      <c r="Q193" s="30" t="inlineStr">
        <is>
          <t>Not Run</t>
        </is>
      </c>
      <c r="R193" s="30" t="n"/>
      <c r="S193" s="31" t="n"/>
      <c r="T193" s="29" t="n"/>
    </row>
    <row r="194" ht="34" customHeight="1">
      <c r="A194" s="27" t="inlineStr">
        <is>
          <t>TC-OAU-011</t>
        </is>
      </c>
      <c r="B194" s="4" t="inlineStr">
        <is>
          <t>OAuth &amp; callback</t>
        </is>
      </c>
      <c r="C194" s="4" t="inlineStr">
        <is>
          <t>Callback with an unsupported token type</t>
        </is>
      </c>
      <c r="D194" s="28" t="inlineStr">
        <is>
          <t>Edge</t>
        </is>
      </c>
      <c r="E194" s="28" t="inlineStr">
        <is>
          <t>Low</t>
        </is>
      </c>
      <c r="F194" s="28" t="inlineStr">
        <is>
          <t>UI</t>
        </is>
      </c>
      <c r="G194" s="28" t="inlineStr">
        <is>
          <t>Manual UI</t>
        </is>
      </c>
      <c r="H194" s="28" t="inlineStr">
        <is>
          <t>Extended</t>
        </is>
      </c>
      <c r="I194" s="4" t="inlineStr">
        <is>
          <t>App running and reachable; tester is signed out.</t>
        </is>
      </c>
      <c r="J194" s="4" t="inlineStr">
        <is>
          <t>1. Open /auth/callback?token_hash=abc&amp;type=magiclink.</t>
        </is>
      </c>
      <c r="K194" s="4" t="inlineStr">
        <is>
          <t>type=magiclink</t>
        </is>
      </c>
      <c r="L194" s="4" t="inlineStr">
        <is>
          <t>Unknown type is ignored; with no code present the generic invalid-link banner is shown.</t>
        </is>
      </c>
      <c r="M194" s="4" t="inlineStr">
        <is>
          <t>OAU-05, OAU-06</t>
        </is>
      </c>
      <c r="N194" s="4" t="inlineStr">
        <is>
          <t>auth/callback.tsx:29-31,70-76</t>
        </is>
      </c>
      <c r="O194" s="28" t="inlineStr"/>
      <c r="P194" s="29" t="n"/>
      <c r="Q194" s="30" t="inlineStr">
        <is>
          <t>Not Run</t>
        </is>
      </c>
      <c r="R194" s="30" t="n"/>
      <c r="S194" s="31" t="n"/>
      <c r="T194" s="29" t="n"/>
    </row>
    <row r="195" ht="34" customHeight="1">
      <c r="A195" s="27" t="inlineStr">
        <is>
          <t>TC-OAU-012</t>
        </is>
      </c>
      <c r="B195" s="4" t="inlineStr">
        <is>
          <t>OAuth &amp; callback</t>
        </is>
      </c>
      <c r="C195" s="4" t="inlineStr">
        <is>
          <t>Callback recovery link goes to /reset-password</t>
        </is>
      </c>
      <c r="D195" s="28" t="inlineStr">
        <is>
          <t>Positive</t>
        </is>
      </c>
      <c r="E195" s="28" t="inlineStr">
        <is>
          <t>High</t>
        </is>
      </c>
      <c r="F195" s="28" t="inlineStr">
        <is>
          <t>UI</t>
        </is>
      </c>
      <c r="G195" s="28" t="inlineStr">
        <is>
          <t>Manual UI</t>
        </is>
      </c>
      <c r="H195" s="28" t="inlineStr">
        <is>
          <t>Core</t>
        </is>
      </c>
      <c r="I195" s="4" t="inlineStr">
        <is>
          <t>App running and reachable; tester is signed out.</t>
        </is>
      </c>
      <c r="J195" s="4" t="inlineStr">
        <is>
          <t>1. Open a valid recovery link containing next=/reset-password.</t>
        </is>
      </c>
      <c r="K195" s="4" t="inlineStr">
        <is>
          <t>valid token_hash, type=recovery</t>
        </is>
      </c>
      <c r="L195" s="4" t="inlineStr">
        <is>
          <t>Session opens (event method "password reset"); lands on /reset-password.</t>
        </is>
      </c>
      <c r="M195" s="4" t="inlineStr">
        <is>
          <t>OAU-05, OAU-07, AUD-04</t>
        </is>
      </c>
      <c r="N195" s="4" t="inlineStr">
        <is>
          <t>auth/callback.tsx:100-108</t>
        </is>
      </c>
      <c r="O195" s="28" t="inlineStr"/>
      <c r="P195" s="29" t="n"/>
      <c r="Q195" s="30" t="inlineStr">
        <is>
          <t>Not Run</t>
        </is>
      </c>
      <c r="R195" s="30" t="n"/>
      <c r="S195" s="31" t="n"/>
      <c r="T195" s="29" t="n"/>
    </row>
    <row r="196" ht="34" customHeight="1">
      <c r="A196" s="27" t="inlineStr">
        <is>
          <t>TC-OAU-013</t>
        </is>
      </c>
      <c r="B196" s="4" t="inlineStr">
        <is>
          <t>OAuth &amp; callback</t>
        </is>
      </c>
      <c r="C196" s="4" t="inlineStr">
        <is>
          <t>Callback invitation link goes to /accept-invitation</t>
        </is>
      </c>
      <c r="D196" s="28" t="inlineStr">
        <is>
          <t>Positive</t>
        </is>
      </c>
      <c r="E196" s="28" t="inlineStr">
        <is>
          <t>High</t>
        </is>
      </c>
      <c r="F196" s="28" t="inlineStr">
        <is>
          <t>UI</t>
        </is>
      </c>
      <c r="G196" s="28" t="inlineStr">
        <is>
          <t>Manual UI</t>
        </is>
      </c>
      <c r="H196" s="28" t="inlineStr">
        <is>
          <t>Core</t>
        </is>
      </c>
      <c r="I196" s="4" t="inlineStr">
        <is>
          <t>App running and reachable; tester is signed out.</t>
        </is>
      </c>
      <c r="J196" s="4" t="inlineStr">
        <is>
          <t>1. Open a valid invite link containing next=/accept-invitation.</t>
        </is>
      </c>
      <c r="K196" s="4" t="inlineStr">
        <is>
          <t>[ACC-12] invite</t>
        </is>
      </c>
      <c r="L196" s="4" t="inlineStr">
        <is>
          <t>Session opens (method "invitation"); lands on /accept-invitation.</t>
        </is>
      </c>
      <c r="M196" s="4" t="inlineStr">
        <is>
          <t>OAU-05, OAU-07, AUD-04</t>
        </is>
      </c>
      <c r="N196" s="4" t="inlineStr">
        <is>
          <t>auth/callback.tsx:97-99</t>
        </is>
      </c>
      <c r="O196" s="28" t="inlineStr"/>
      <c r="P196" s="29" t="n"/>
      <c r="Q196" s="30" t="inlineStr">
        <is>
          <t>Not Run</t>
        </is>
      </c>
      <c r="R196" s="30" t="n"/>
      <c r="S196" s="31" t="n"/>
      <c r="T196" s="29" t="n"/>
    </row>
    <row r="197" ht="34" customHeight="1">
      <c r="A197" s="27" t="inlineStr">
        <is>
          <t>TC-OAU-014</t>
        </is>
      </c>
      <c r="B197" s="4" t="inlineStr">
        <is>
          <t>OAuth &amp; callback</t>
        </is>
      </c>
      <c r="C197" s="4" t="inlineStr">
        <is>
          <t>Callback signup and email links go to /dashboard</t>
        </is>
      </c>
      <c r="D197" s="28" t="inlineStr">
        <is>
          <t>Positive</t>
        </is>
      </c>
      <c r="E197" s="28" t="inlineStr">
        <is>
          <t>Medium</t>
        </is>
      </c>
      <c r="F197" s="28" t="inlineStr">
        <is>
          <t>UI</t>
        </is>
      </c>
      <c r="G197" s="28" t="inlineStr">
        <is>
          <t>Manual UI</t>
        </is>
      </c>
      <c r="H197" s="28" t="inlineStr">
        <is>
          <t>Extended</t>
        </is>
      </c>
      <c r="I197" s="4" t="inlineStr">
        <is>
          <t>App running and reachable; tester is signed out.</t>
        </is>
      </c>
      <c r="J197" s="4" t="inlineStr">
        <is>
          <t>1. Open valid links with type=signup, email and email_change and no next.</t>
        </is>
      </c>
      <c r="K197" s="4" t="inlineStr">
        <is>
          <t>valid token_hash each</t>
        </is>
      </c>
      <c r="L197" s="4" t="inlineStr">
        <is>
          <t>Each opens a session and lands on /dashboard.</t>
        </is>
      </c>
      <c r="M197" s="4" t="inlineStr">
        <is>
          <t>OAU-05</t>
        </is>
      </c>
      <c r="N197" s="4" t="inlineStr">
        <is>
          <t>auth/callback.tsx:109-112</t>
        </is>
      </c>
      <c r="O197" s="28" t="inlineStr"/>
      <c r="P197" s="29" t="n"/>
      <c r="Q197" s="30" t="inlineStr">
        <is>
          <t>Not Run</t>
        </is>
      </c>
      <c r="R197" s="30" t="n"/>
      <c r="S197" s="31" t="n"/>
      <c r="T197" s="29" t="n"/>
    </row>
    <row r="198" ht="49" customHeight="1">
      <c r="A198" s="27" t="inlineStr">
        <is>
          <t>TC-OAU-015</t>
        </is>
      </c>
      <c r="B198" s="4" t="inlineStr">
        <is>
          <t>OAuth &amp; callback</t>
        </is>
      </c>
      <c r="C198" s="4" t="inlineStr">
        <is>
          <t>Invalid token_hash for each supported type</t>
        </is>
      </c>
      <c r="D198" s="28" t="inlineStr">
        <is>
          <t>Negative</t>
        </is>
      </c>
      <c r="E198" s="28" t="inlineStr">
        <is>
          <t>Medium</t>
        </is>
      </c>
      <c r="F198" s="28" t="inlineStr">
        <is>
          <t>UI</t>
        </is>
      </c>
      <c r="G198" s="28" t="inlineStr">
        <is>
          <t>Manual UI</t>
        </is>
      </c>
      <c r="H198" s="28" t="inlineStr">
        <is>
          <t>Extended</t>
        </is>
      </c>
      <c r="I198" s="4" t="inlineStr">
        <is>
          <t>App running and reachable; tester is signed out.</t>
        </is>
      </c>
      <c r="J198" s="4" t="inlineStr">
        <is>
          <t>1. For invite, signup, recovery, email and email_change open a callback with a bad token.</t>
        </is>
      </c>
      <c r="K198" s="4" t="inlineStr">
        <is>
          <t>token_hash=bad</t>
        </is>
      </c>
      <c r="L198" s="4" t="inlineStr">
        <is>
          <t>Redirect to /login with the Supabase message, or the type-specific fallback (e.g. "This invitation is invalid or has expired."); no session.</t>
        </is>
      </c>
      <c r="M198" s="4" t="inlineStr">
        <is>
          <t>OAU-05</t>
        </is>
      </c>
      <c r="N198" s="4" t="inlineStr">
        <is>
          <t>auth/callback.tsx:12-18,40-52</t>
        </is>
      </c>
      <c r="O198" s="28" t="inlineStr"/>
      <c r="P198" s="29" t="n"/>
      <c r="Q198" s="30" t="inlineStr">
        <is>
          <t>Not Run</t>
        </is>
      </c>
      <c r="R198" s="30" t="n"/>
      <c r="S198" s="31" t="n"/>
      <c r="T198" s="29" t="n"/>
    </row>
    <row r="199" ht="34" customHeight="1">
      <c r="A199" s="27" t="inlineStr">
        <is>
          <t>TC-OAU-016</t>
        </is>
      </c>
      <c r="B199" s="4" t="inlineStr">
        <is>
          <t>OAuth &amp; callback</t>
        </is>
      </c>
      <c r="C199" s="4" t="inlineStr">
        <is>
          <t>Arbitrary next= values are ignored</t>
        </is>
      </c>
      <c r="D199" s="28" t="inlineStr">
        <is>
          <t>Security</t>
        </is>
      </c>
      <c r="E199" s="28" t="inlineStr">
        <is>
          <t>High</t>
        </is>
      </c>
      <c r="F199" s="28" t="inlineStr">
        <is>
          <t>UI</t>
        </is>
      </c>
      <c r="G199" s="28" t="inlineStr">
        <is>
          <t>Manual UI</t>
        </is>
      </c>
      <c r="H199" s="28" t="inlineStr">
        <is>
          <t>Core</t>
        </is>
      </c>
      <c r="I199" s="4" t="inlineStr">
        <is>
          <t>App running and reachable; tester is signed out.</t>
        </is>
      </c>
      <c r="J199" s="4" t="inlineStr">
        <is>
          <t>1. Open a valid callback with next=/admin, next=https://evil.example and next=//evil.example.</t>
        </is>
      </c>
      <c r="K199" s="4" t="inlineStr">
        <is>
          <t>valid link + next variants</t>
        </is>
      </c>
      <c r="L199" s="4" t="inlineStr">
        <is>
          <t>Only /accept-invitation and /reset-password are honoured; every other value lands on /dashboard; no external navigation.</t>
        </is>
      </c>
      <c r="M199" s="4" t="inlineStr">
        <is>
          <t>OAU-07</t>
        </is>
      </c>
      <c r="N199" s="4" t="inlineStr">
        <is>
          <t>auth/callback.tsx:96-112</t>
        </is>
      </c>
      <c r="O199" s="28" t="inlineStr"/>
      <c r="P199" s="29" t="n"/>
      <c r="Q199" s="30" t="inlineStr">
        <is>
          <t>Not Run</t>
        </is>
      </c>
      <c r="R199" s="30" t="n"/>
      <c r="S199" s="31" t="n"/>
      <c r="T199" s="29" t="n"/>
    </row>
    <row r="200" ht="34" customHeight="1">
      <c r="A200" s="27" t="inlineStr">
        <is>
          <t>TC-OAU-017</t>
        </is>
      </c>
      <c r="B200" s="4" t="inlineStr">
        <is>
          <t>OAuth &amp; callback</t>
        </is>
      </c>
      <c r="C200" s="4" t="inlineStr">
        <is>
          <t>token_hash takes precedence over code</t>
        </is>
      </c>
      <c r="D200" s="28" t="inlineStr">
        <is>
          <t>Edge</t>
        </is>
      </c>
      <c r="E200" s="28" t="inlineStr">
        <is>
          <t>Low</t>
        </is>
      </c>
      <c r="F200" s="28" t="inlineStr">
        <is>
          <t>UI</t>
        </is>
      </c>
      <c r="G200" s="28" t="inlineStr">
        <is>
          <t>Manual UI</t>
        </is>
      </c>
      <c r="H200" s="28" t="inlineStr">
        <is>
          <t>Extended</t>
        </is>
      </c>
      <c r="I200" s="4" t="inlineStr">
        <is>
          <t>App running and reachable; tester is signed out.</t>
        </is>
      </c>
      <c r="J200" s="4" t="inlineStr">
        <is>
          <t>1. Open a callback with both a valid token_hash and an invalid code.</t>
        </is>
      </c>
      <c r="K200" s="4" t="inlineStr">
        <is>
          <t>both params</t>
        </is>
      </c>
      <c r="L200" s="4" t="inlineStr">
        <is>
          <t>Token path is used; session opens; the invalid code is ignored.</t>
        </is>
      </c>
      <c r="M200" s="4" t="inlineStr">
        <is>
          <t>OAU-05</t>
        </is>
      </c>
      <c r="N200" s="4" t="inlineStr">
        <is>
          <t>auth/callback.tsx:38-52</t>
        </is>
      </c>
      <c r="O200" s="28" t="inlineStr"/>
      <c r="P200" s="29" t="n"/>
      <c r="Q200" s="30" t="inlineStr">
        <is>
          <t>Not Run</t>
        </is>
      </c>
      <c r="R200" s="30" t="n"/>
      <c r="S200" s="31" t="n"/>
      <c r="T200" s="29" t="n"/>
    </row>
    <row r="201" ht="34" customHeight="1">
      <c r="A201" s="27" t="inlineStr">
        <is>
          <t>TC-OAU-018</t>
        </is>
      </c>
      <c r="B201" s="4" t="inlineStr">
        <is>
          <t>OAuth &amp; callback</t>
        </is>
      </c>
      <c r="C201" s="4" t="inlineStr">
        <is>
          <t>Hovering a callback link does not consume the token</t>
        </is>
      </c>
      <c r="D201" s="28" t="inlineStr">
        <is>
          <t>Edge</t>
        </is>
      </c>
      <c r="E201" s="28" t="inlineStr">
        <is>
          <t>Medium</t>
        </is>
      </c>
      <c r="F201" s="28" t="inlineStr">
        <is>
          <t>UI</t>
        </is>
      </c>
      <c r="G201" s="28" t="inlineStr">
        <is>
          <t>Manual UI</t>
        </is>
      </c>
      <c r="H201" s="28" t="inlineStr">
        <is>
          <t>Extended</t>
        </is>
      </c>
      <c r="I201" s="4" t="inlineStr">
        <is>
          <t>App running and reachable; tester is signed out.</t>
        </is>
      </c>
      <c r="J201" s="4" t="inlineStr">
        <is>
          <t>1. Hover/prefetch a link to /auth/callback with a valid token.</t>
        </is>
      </c>
      <c r="K201" s="4" t="inlineStr">
        <is>
          <t>valid token</t>
        </is>
      </c>
      <c r="L201" s="4" t="inlineStr">
        <is>
          <t>No preload request; the token remains usable until actually opened.</t>
        </is>
      </c>
      <c r="M201" s="4" t="inlineStr">
        <is>
          <t>OAU-10</t>
        </is>
      </c>
      <c r="N201" s="4" t="inlineStr">
        <is>
          <t>auth/callback.tsx:89-92</t>
        </is>
      </c>
      <c r="O201" s="28" t="inlineStr"/>
      <c r="P201" s="29" t="n"/>
      <c r="Q201" s="30" t="inlineStr">
        <is>
          <t>Not Run</t>
        </is>
      </c>
      <c r="R201" s="30" t="n"/>
      <c r="S201" s="31" t="n"/>
      <c r="T201" s="29" t="n"/>
    </row>
    <row r="202" ht="64" customHeight="1">
      <c r="A202" s="27" t="inlineStr">
        <is>
          <t>TC-OAU-019</t>
        </is>
      </c>
      <c r="B202" s="4" t="inlineStr">
        <is>
          <t>OAuth &amp; callback</t>
        </is>
      </c>
      <c r="C202" s="4" t="inlineStr">
        <is>
          <t>Suspended user signs in via Google</t>
        </is>
      </c>
      <c r="D202" s="28" t="inlineStr">
        <is>
          <t>Security</t>
        </is>
      </c>
      <c r="E202" s="28" t="inlineStr">
        <is>
          <t>High</t>
        </is>
      </c>
      <c r="F202" s="28" t="inlineStr">
        <is>
          <t>UI</t>
        </is>
      </c>
      <c r="G202" s="28" t="inlineStr">
        <is>
          <t>Manual UI</t>
        </is>
      </c>
      <c r="H202" s="28" t="inlineStr">
        <is>
          <t>Core</t>
        </is>
      </c>
      <c r="I202" s="4" t="inlineStr">
        <is>
          <t>[ACC-10] has access_status = suspended.</t>
        </is>
      </c>
      <c r="J202" s="4" t="inlineStr">
        <is>
          <t>1. Suspend the Google user.
2. Sign in with Google.
3. Inspect cookies and call a server function.</t>
        </is>
      </c>
      <c r="K202" s="4" t="inlineStr">
        <is>
          <t>[ACC-10] suspended</t>
        </is>
      </c>
      <c r="L202" s="4" t="inlineStr">
        <is>
          <t>[Possible issue F-18 - needs a runtime check] User cannot see any app page and server functions refuse. Password sign-in signs the session out; callback should do the same - currently the Supabase session remains.</t>
        </is>
      </c>
      <c r="M202" s="4" t="inlineStr">
        <is>
          <t>OAU-13, SES-03</t>
        </is>
      </c>
      <c r="N202" s="4" t="inlineStr">
        <is>
          <t>auth/callback.tsx:83-86 vs loginWithEmailFn:126-129</t>
        </is>
      </c>
      <c r="O202" s="28" t="inlineStr">
        <is>
          <t>F-18</t>
        </is>
      </c>
      <c r="P202" s="29" t="n"/>
      <c r="Q202" s="30" t="inlineStr">
        <is>
          <t>Not Run</t>
        </is>
      </c>
      <c r="R202" s="30" t="n"/>
      <c r="S202" s="31" t="n"/>
      <c r="T202" s="29" t="n"/>
    </row>
    <row r="203" ht="49" customHeight="1">
      <c r="A203" s="27" t="inlineStr">
        <is>
          <t>TC-OAU-020</t>
        </is>
      </c>
      <c r="B203" s="4" t="inlineStr">
        <is>
          <t>OAuth &amp; callback</t>
        </is>
      </c>
      <c r="C203" s="4" t="inlineStr">
        <is>
          <t>Apple provider is not reachable from the UI</t>
        </is>
      </c>
      <c r="D203" s="28" t="inlineStr">
        <is>
          <t>Edge</t>
        </is>
      </c>
      <c r="E203" s="28" t="inlineStr">
        <is>
          <t>Low</t>
        </is>
      </c>
      <c r="F203" s="28" t="inlineStr">
        <is>
          <t>API</t>
        </is>
      </c>
      <c r="G203" s="28" t="inlineStr">
        <is>
          <t>Direct API call</t>
        </is>
      </c>
      <c r="H203" s="28" t="inlineStr">
        <is>
          <t>Extended</t>
        </is>
      </c>
      <c r="I203" s="4" t="inlineStr">
        <is>
          <t>App running and reachable; tester is signed out.</t>
        </is>
      </c>
      <c r="J203" s="4" t="inlineStr">
        <is>
          <t>1. Search the login and sign-up screens for an Apple button.
2. Call loginWithOAuthFn with provider=apple.</t>
        </is>
      </c>
      <c r="K203" s="4" t="inlineStr">
        <is>
          <t>provider=apple</t>
        </is>
      </c>
      <c r="L203" s="4" t="inlineStr">
        <is>
          <t>[Note F-23] No Apple button is shown; direct call returns the provider error (provider not configured). Out of project scope.</t>
        </is>
      </c>
      <c r="M203" s="4" t="inlineStr">
        <is>
          <t>OAU-11</t>
        </is>
      </c>
      <c r="N203" s="4" t="inlineStr">
        <is>
          <t>auth.mutations.ts:140-163</t>
        </is>
      </c>
      <c r="O203" s="28" t="inlineStr">
        <is>
          <t>F-23</t>
        </is>
      </c>
      <c r="P203" s="29" t="n"/>
      <c r="Q203" s="30" t="inlineStr">
        <is>
          <t>Not Run</t>
        </is>
      </c>
      <c r="R203" s="30" t="n"/>
      <c r="S203" s="31" t="n"/>
      <c r="T203" s="29" t="n"/>
    </row>
    <row r="204" ht="34" customHeight="1">
      <c r="A204" s="27" t="inlineStr">
        <is>
          <t>TC-SES-001</t>
        </is>
      </c>
      <c r="B204" s="4" t="inlineStr">
        <is>
          <t>Session &amp; access control</t>
        </is>
      </c>
      <c r="C204" s="4" t="inlineStr">
        <is>
          <t>Signed-out user is redirected from /dashboard</t>
        </is>
      </c>
      <c r="D204" s="28" t="inlineStr">
        <is>
          <t>Negative</t>
        </is>
      </c>
      <c r="E204" s="28" t="inlineStr">
        <is>
          <t>High</t>
        </is>
      </c>
      <c r="F204" s="28" t="inlineStr">
        <is>
          <t>UI</t>
        </is>
      </c>
      <c r="G204" s="28" t="inlineStr">
        <is>
          <t>Manual UI</t>
        </is>
      </c>
      <c r="H204" s="28" t="inlineStr">
        <is>
          <t>Smoke</t>
        </is>
      </c>
      <c r="I204" s="4" t="inlineStr">
        <is>
          <t>App running and reachable; tester is signed out.</t>
        </is>
      </c>
      <c r="J204" s="4" t="inlineStr">
        <is>
          <t>1. Open /dashboard in a fresh browser.</t>
        </is>
      </c>
      <c r="K204" s="4" t="inlineStr">
        <is>
          <t>signed out</t>
        </is>
      </c>
      <c r="L204" s="4" t="inlineStr">
        <is>
          <t>Redirected to /login?redirect=/dashboard; no dashboard markup flashes.</t>
        </is>
      </c>
      <c r="M204" s="4" t="inlineStr">
        <is>
          <t>SES-01</t>
        </is>
      </c>
      <c r="N204" s="4" t="inlineStr">
        <is>
          <t>_authed/route.tsx:46-48</t>
        </is>
      </c>
      <c r="O204" s="28" t="inlineStr"/>
      <c r="P204" s="29" t="n"/>
      <c r="Q204" s="30" t="inlineStr">
        <is>
          <t>Not Run</t>
        </is>
      </c>
      <c r="R204" s="30" t="n"/>
      <c r="S204" s="31" t="n"/>
      <c r="T204" s="29" t="n"/>
    </row>
    <row r="205" ht="34" customHeight="1">
      <c r="A205" s="27" t="inlineStr">
        <is>
          <t>TC-SES-002</t>
        </is>
      </c>
      <c r="B205" s="4" t="inlineStr">
        <is>
          <t>Session &amp; access control</t>
        </is>
      </c>
      <c r="C205" s="4" t="inlineStr">
        <is>
          <t>Deep link survives the sign-in detour</t>
        </is>
      </c>
      <c r="D205" s="28" t="inlineStr">
        <is>
          <t>Positive</t>
        </is>
      </c>
      <c r="E205" s="28" t="inlineStr">
        <is>
          <t>High</t>
        </is>
      </c>
      <c r="F205" s="28" t="inlineStr">
        <is>
          <t>UI</t>
        </is>
      </c>
      <c r="G205" s="28" t="inlineStr">
        <is>
          <t>Manual UI</t>
        </is>
      </c>
      <c r="H205" s="28" t="inlineStr">
        <is>
          <t>Smoke</t>
        </is>
      </c>
      <c r="I205" s="4" t="inlineStr">
        <is>
          <t>App running and reachable; tester is signed out.</t>
        </is>
      </c>
      <c r="J205" s="4" t="inlineStr">
        <is>
          <t>1. While signed out open /my-requests/&lt;id&gt;.
2. Sign in as the owning applicant.</t>
        </is>
      </c>
      <c r="K205" s="4" t="inlineStr">
        <is>
          <t>[ACC-01]</t>
        </is>
      </c>
      <c r="L205" s="4" t="inlineStr">
        <is>
          <t>After sign-in the user lands on the original deep link.</t>
        </is>
      </c>
      <c r="M205" s="4" t="inlineStr">
        <is>
          <t>SES-02, LGN-04</t>
        </is>
      </c>
      <c r="N205" s="4" t="inlineStr">
        <is>
          <t>_authed/route.tsx</t>
        </is>
      </c>
      <c r="O205" s="28" t="inlineStr"/>
      <c r="P205" s="29" t="n"/>
      <c r="Q205" s="30" t="inlineStr">
        <is>
          <t>Not Run</t>
        </is>
      </c>
      <c r="R205" s="30" t="n"/>
      <c r="S205" s="31" t="n"/>
      <c r="T205" s="29" t="n"/>
    </row>
    <row r="206" ht="34" customHeight="1">
      <c r="A206" s="27" t="inlineStr">
        <is>
          <t>TC-SES-003</t>
        </is>
      </c>
      <c r="B206" s="4" t="inlineStr">
        <is>
          <t>Session &amp; access control</t>
        </is>
      </c>
      <c r="C206" s="4" t="inlineStr">
        <is>
          <t>Apply wizard requires a session</t>
        </is>
      </c>
      <c r="D206" s="28" t="inlineStr">
        <is>
          <t>Negative</t>
        </is>
      </c>
      <c r="E206" s="28" t="inlineStr">
        <is>
          <t>High</t>
        </is>
      </c>
      <c r="F206" s="28" t="inlineStr">
        <is>
          <t>UI</t>
        </is>
      </c>
      <c r="G206" s="28" t="inlineStr">
        <is>
          <t>Manual UI</t>
        </is>
      </c>
      <c r="H206" s="28" t="inlineStr">
        <is>
          <t>Core</t>
        </is>
      </c>
      <c r="I206" s="4" t="inlineStr">
        <is>
          <t>App running and reachable; tester is signed out.</t>
        </is>
      </c>
      <c r="J206" s="4" t="inlineStr">
        <is>
          <t>1. Signed out, open /apply/&lt;serviceCode&gt;/details.</t>
        </is>
      </c>
      <c r="K206" s="4" t="inlineStr">
        <is>
          <t>signed out</t>
        </is>
      </c>
      <c r="L206" s="4" t="inlineStr">
        <is>
          <t>Redirected to /login with the redirect target; wizard data is not rendered.</t>
        </is>
      </c>
      <c r="M206" s="4" t="inlineStr">
        <is>
          <t>SES-01</t>
        </is>
      </c>
      <c r="N206" s="4" t="inlineStr">
        <is>
          <t>routes/_authed/apply/*</t>
        </is>
      </c>
      <c r="O206" s="28" t="inlineStr"/>
      <c r="P206" s="29" t="n"/>
      <c r="Q206" s="30" t="inlineStr">
        <is>
          <t>Not Run</t>
        </is>
      </c>
      <c r="R206" s="30" t="n"/>
      <c r="S206" s="31" t="n"/>
      <c r="T206" s="29" t="n"/>
    </row>
    <row r="207" ht="34" customHeight="1">
      <c r="A207" s="27" t="inlineStr">
        <is>
          <t>TC-SES-004</t>
        </is>
      </c>
      <c r="B207" s="4" t="inlineStr">
        <is>
          <t>Session &amp; access control</t>
        </is>
      </c>
      <c r="C207" s="4" t="inlineStr">
        <is>
          <t>Public pages remain reachable when signed out</t>
        </is>
      </c>
      <c r="D207" s="28" t="inlineStr">
        <is>
          <t>Positive</t>
        </is>
      </c>
      <c r="E207" s="28" t="inlineStr">
        <is>
          <t>High</t>
        </is>
      </c>
      <c r="F207" s="28" t="inlineStr">
        <is>
          <t>UI</t>
        </is>
      </c>
      <c r="G207" s="28" t="inlineStr">
        <is>
          <t>Manual UI</t>
        </is>
      </c>
      <c r="H207" s="28" t="inlineStr">
        <is>
          <t>Smoke</t>
        </is>
      </c>
      <c r="I207" s="4" t="inlineStr">
        <is>
          <t>App running and reachable; tester is signed out.</t>
        </is>
      </c>
      <c r="J207" s="4" t="inlineStr">
        <is>
          <t>1. Open /, /apply, /requirements, /track, /login, /signup, /forgot-password, /reset-password.</t>
        </is>
      </c>
      <c r="K207" s="4" t="inlineStr">
        <is>
          <t>signed out</t>
        </is>
      </c>
      <c r="L207" s="4" t="inlineStr">
        <is>
          <t>All render without redirect to /login.</t>
        </is>
      </c>
      <c r="M207" s="4" t="inlineStr">
        <is>
          <t>SES-14</t>
        </is>
      </c>
      <c r="N207" s="4" t="inlineStr">
        <is>
          <t>__root.tsx:24-36</t>
        </is>
      </c>
      <c r="O207" s="28" t="inlineStr"/>
      <c r="P207" s="29" t="n"/>
      <c r="Q207" s="30" t="inlineStr">
        <is>
          <t>Not Run</t>
        </is>
      </c>
      <c r="R207" s="30" t="n"/>
      <c r="S207" s="31" t="n"/>
      <c r="T207" s="29" t="n"/>
    </row>
    <row r="208" ht="34" customHeight="1">
      <c r="A208" s="27" t="inlineStr">
        <is>
          <t>TC-SES-005</t>
        </is>
      </c>
      <c r="B208" s="4" t="inlineStr">
        <is>
          <t>Session &amp; access control</t>
        </is>
      </c>
      <c r="C208" s="4" t="inlineStr">
        <is>
          <t>Applicant cannot open admin or system-admin pages</t>
        </is>
      </c>
      <c r="D208" s="28" t="inlineStr">
        <is>
          <t>Security</t>
        </is>
      </c>
      <c r="E208" s="28" t="inlineStr">
        <is>
          <t>High</t>
        </is>
      </c>
      <c r="F208" s="28" t="inlineStr">
        <is>
          <t>UI</t>
        </is>
      </c>
      <c r="G208" s="28" t="inlineStr">
        <is>
          <t>Manual UI</t>
        </is>
      </c>
      <c r="H208" s="28" t="inlineStr">
        <is>
          <t>Smoke</t>
        </is>
      </c>
      <c r="I208" s="4" t="inlineStr">
        <is>
          <t>App running and reachable; tester is signed out.</t>
        </is>
      </c>
      <c r="J208" s="4" t="inlineStr">
        <is>
          <t>1. Signed in as an applicant, open /admin, /admin/staff, /admin/reports, /system-admin/audit.</t>
        </is>
      </c>
      <c r="K208" s="4" t="inlineStr">
        <is>
          <t>[ACC-01]</t>
        </is>
      </c>
      <c r="L208" s="4" t="inlineStr">
        <is>
          <t>Each request is redirected to /dashboard (or denied); no admin data is fetched.</t>
        </is>
      </c>
      <c r="M208" s="4" t="inlineStr">
        <is>
          <t>SES-21</t>
        </is>
      </c>
      <c r="N208" s="4" t="inlineStr">
        <is>
          <t>admin/*.tsx beforeLoad</t>
        </is>
      </c>
      <c r="O208" s="28" t="inlineStr"/>
      <c r="P208" s="29" t="n"/>
      <c r="Q208" s="30" t="inlineStr">
        <is>
          <t>Not Run</t>
        </is>
      </c>
      <c r="R208" s="30" t="n"/>
      <c r="S208" s="31" t="n"/>
      <c r="T208" s="29" t="n"/>
    </row>
    <row r="209" ht="34" customHeight="1">
      <c r="A209" s="27" t="inlineStr">
        <is>
          <t>TC-SES-006</t>
        </is>
      </c>
      <c r="B209" s="4" t="inlineStr">
        <is>
          <t>Session &amp; access control</t>
        </is>
      </c>
      <c r="C209" s="4" t="inlineStr">
        <is>
          <t>Staff cannot open admin-only or system-admin pages</t>
        </is>
      </c>
      <c r="D209" s="28" t="inlineStr">
        <is>
          <t>Security</t>
        </is>
      </c>
      <c r="E209" s="28" t="inlineStr">
        <is>
          <t>High</t>
        </is>
      </c>
      <c r="F209" s="28" t="inlineStr">
        <is>
          <t>UI</t>
        </is>
      </c>
      <c r="G209" s="28" t="inlineStr">
        <is>
          <t>Manual UI</t>
        </is>
      </c>
      <c r="H209" s="28" t="inlineStr">
        <is>
          <t>Core</t>
        </is>
      </c>
      <c r="I209" s="4" t="inlineStr">
        <is>
          <t>App running and reachable; tester is signed out.</t>
        </is>
      </c>
      <c r="J209" s="4" t="inlineStr">
        <is>
          <t>1. Signed in as staff, open /admin/services/new, /admin/staff, /system-admin/accounts.</t>
        </is>
      </c>
      <c r="K209" s="4" t="inlineStr">
        <is>
          <t>[ACC-05]</t>
        </is>
      </c>
      <c r="L209" s="4" t="inlineStr">
        <is>
          <t>Redirected/denied; services:manage and accounts:* data are not returned.</t>
        </is>
      </c>
      <c r="M209" s="4" t="inlineStr">
        <is>
          <t>SES-21</t>
        </is>
      </c>
      <c r="N209" s="4" t="inlineStr">
        <is>
          <t>admin/*.tsx; system-admin/*.tsx</t>
        </is>
      </c>
      <c r="O209" s="28" t="inlineStr"/>
      <c r="P209" s="29" t="n"/>
      <c r="Q209" s="30" t="inlineStr">
        <is>
          <t>Not Run</t>
        </is>
      </c>
      <c r="R209" s="30" t="n"/>
      <c r="S209" s="31" t="n"/>
      <c r="T209" s="29" t="n"/>
    </row>
    <row r="210" ht="34" customHeight="1">
      <c r="A210" s="27" t="inlineStr">
        <is>
          <t>TC-SES-007</t>
        </is>
      </c>
      <c r="B210" s="4" t="inlineStr">
        <is>
          <t>Session &amp; access control</t>
        </is>
      </c>
      <c r="C210" s="4" t="inlineStr">
        <is>
          <t>Cashier cannot open the request list or staff dashboard actions</t>
        </is>
      </c>
      <c r="D210" s="28" t="inlineStr">
        <is>
          <t>Security</t>
        </is>
      </c>
      <c r="E210" s="28" t="inlineStr">
        <is>
          <t>Medium</t>
        </is>
      </c>
      <c r="F210" s="28" t="inlineStr">
        <is>
          <t>UI</t>
        </is>
      </c>
      <c r="G210" s="28" t="inlineStr">
        <is>
          <t>Manual UI</t>
        </is>
      </c>
      <c r="H210" s="28" t="inlineStr">
        <is>
          <t>Extended</t>
        </is>
      </c>
      <c r="I210" s="4" t="inlineStr">
        <is>
          <t>App running and reachable; tester is signed out.</t>
        </is>
      </c>
      <c r="J210" s="4" t="inlineStr">
        <is>
          <t>1. Signed in as cashier, open /requests and /requests/&lt;id&gt;.</t>
        </is>
      </c>
      <c r="K210" s="4" t="inlineStr">
        <is>
          <t>[ACC-07]</t>
        </is>
      </c>
      <c r="L210" s="4" t="inlineStr">
        <is>
          <t>Denied: cashier lacks requests:view_all.</t>
        </is>
      </c>
      <c r="M210" s="4" t="inlineStr">
        <is>
          <t>SES-21</t>
        </is>
      </c>
      <c r="N210" s="4" t="inlineStr">
        <is>
          <t>lib/permissions.ts</t>
        </is>
      </c>
      <c r="O210" s="28" t="inlineStr"/>
      <c r="P210" s="29" t="n"/>
      <c r="Q210" s="30" t="inlineStr">
        <is>
          <t>Not Run</t>
        </is>
      </c>
      <c r="R210" s="30" t="n"/>
      <c r="S210" s="31" t="n"/>
      <c r="T210" s="29" t="n"/>
    </row>
    <row r="211" ht="34" customHeight="1">
      <c r="A211" s="27" t="inlineStr">
        <is>
          <t>TC-SES-008</t>
        </is>
      </c>
      <c r="B211" s="4" t="inlineStr">
        <is>
          <t>Session &amp; access control</t>
        </is>
      </c>
      <c r="C211" s="4" t="inlineStr">
        <is>
          <t>CCRO Admin cannot open system-admin pages</t>
        </is>
      </c>
      <c r="D211" s="28" t="inlineStr">
        <is>
          <t>Security</t>
        </is>
      </c>
      <c r="E211" s="28" t="inlineStr">
        <is>
          <t>High</t>
        </is>
      </c>
      <c r="F211" s="28" t="inlineStr">
        <is>
          <t>UI</t>
        </is>
      </c>
      <c r="G211" s="28" t="inlineStr">
        <is>
          <t>Manual UI</t>
        </is>
      </c>
      <c r="H211" s="28" t="inlineStr">
        <is>
          <t>Core</t>
        </is>
      </c>
      <c r="I211" s="4" t="inlineStr">
        <is>
          <t>App running and reachable; tester is signed out.</t>
        </is>
      </c>
      <c r="J211" s="4" t="inlineStr">
        <is>
          <t>1. Signed in as CCRO admin, open /system-admin/health and /system-admin/security.</t>
        </is>
      </c>
      <c r="K211" s="4" t="inlineStr">
        <is>
          <t>[ACC-08]</t>
        </is>
      </c>
      <c r="L211" s="4" t="inlineStr">
        <is>
          <t>Denied: separation between CCRO admin and platform system admin.</t>
        </is>
      </c>
      <c r="M211" s="4" t="inlineStr">
        <is>
          <t>SES-21</t>
        </is>
      </c>
      <c r="N211" s="4" t="inlineStr">
        <is>
          <t>lib/permissions.ts</t>
        </is>
      </c>
      <c r="O211" s="28" t="inlineStr"/>
      <c r="P211" s="29" t="n"/>
      <c r="Q211" s="30" t="inlineStr">
        <is>
          <t>Not Run</t>
        </is>
      </c>
      <c r="R211" s="30" t="n"/>
      <c r="S211" s="31" t="n"/>
      <c r="T211" s="29" t="n"/>
    </row>
    <row r="212" ht="34" customHeight="1">
      <c r="A212" s="27" t="inlineStr">
        <is>
          <t>TC-SES-009</t>
        </is>
      </c>
      <c r="B212" s="4" t="inlineStr">
        <is>
          <t>Session &amp; access control</t>
        </is>
      </c>
      <c r="C212" s="4" t="inlineStr">
        <is>
          <t>System admin can open system-admin pages</t>
        </is>
      </c>
      <c r="D212" s="28" t="inlineStr">
        <is>
          <t>Positive</t>
        </is>
      </c>
      <c r="E212" s="28" t="inlineStr">
        <is>
          <t>Medium</t>
        </is>
      </c>
      <c r="F212" s="28" t="inlineStr">
        <is>
          <t>UI</t>
        </is>
      </c>
      <c r="G212" s="28" t="inlineStr">
        <is>
          <t>Manual UI</t>
        </is>
      </c>
      <c r="H212" s="28" t="inlineStr">
        <is>
          <t>Extended</t>
        </is>
      </c>
      <c r="I212" s="4" t="inlineStr">
        <is>
          <t>App running and reachable; tester is signed out.</t>
        </is>
      </c>
      <c r="J212" s="4" t="inlineStr">
        <is>
          <t>1. Signed in as system admin, open /system-admin/health, /accounts, /audit, /security.</t>
        </is>
      </c>
      <c r="K212" s="4" t="inlineStr">
        <is>
          <t>[ACC-09]</t>
        </is>
      </c>
      <c r="L212" s="4" t="inlineStr">
        <is>
          <t>All render; no permission error.</t>
        </is>
      </c>
      <c r="M212" s="4" t="inlineStr">
        <is>
          <t>SES-21, SES-15</t>
        </is>
      </c>
      <c r="N212" s="4" t="inlineStr">
        <is>
          <t>system-admin/*.tsx</t>
        </is>
      </c>
      <c r="O212" s="28" t="inlineStr"/>
      <c r="P212" s="29" t="n"/>
      <c r="Q212" s="30" t="inlineStr">
        <is>
          <t>Not Run</t>
        </is>
      </c>
      <c r="R212" s="30" t="n"/>
      <c r="S212" s="31" t="n"/>
      <c r="T212" s="29" t="n"/>
    </row>
    <row r="213" ht="49" customHeight="1">
      <c r="A213" s="27" t="inlineStr">
        <is>
          <t>TC-SES-010</t>
        </is>
      </c>
      <c r="B213" s="4" t="inlineStr">
        <is>
          <t>Session &amp; access control</t>
        </is>
      </c>
      <c r="C213" s="4" t="inlineStr">
        <is>
          <t>Non-applicant opening applicant-only pages</t>
        </is>
      </c>
      <c r="D213" s="28" t="inlineStr">
        <is>
          <t>Edge</t>
        </is>
      </c>
      <c r="E213" s="28" t="inlineStr">
        <is>
          <t>Medium</t>
        </is>
      </c>
      <c r="F213" s="28" t="inlineStr">
        <is>
          <t>UI</t>
        </is>
      </c>
      <c r="G213" s="28" t="inlineStr">
        <is>
          <t>Manual UI</t>
        </is>
      </c>
      <c r="H213" s="28" t="inlineStr">
        <is>
          <t>Extended</t>
        </is>
      </c>
      <c r="I213" s="4" t="inlineStr">
        <is>
          <t>App running and reachable; tester is signed out.</t>
        </is>
      </c>
      <c r="J213" s="4" t="inlineStr">
        <is>
          <t>1. Signed in as staff, open /my-requests and /notifications.</t>
        </is>
      </c>
      <c r="K213" s="4" t="inlineStr">
        <is>
          <t>[ACC-05]</t>
        </is>
      </c>
      <c r="L213" s="4" t="inlineStr">
        <is>
          <t>[Known issue F-21 - current code differs] Should redirect like other guarded routes. Currently the guard throws Error("Forbidden"), showing the error boundary.</t>
        </is>
      </c>
      <c r="M213" s="4" t="inlineStr">
        <is>
          <t>SES-22</t>
        </is>
      </c>
      <c r="N213" s="4" t="inlineStr">
        <is>
          <t>my-requests/index.tsx:10; notifications.tsx:12</t>
        </is>
      </c>
      <c r="O213" s="28" t="inlineStr">
        <is>
          <t>F-21</t>
        </is>
      </c>
      <c r="P213" s="29" t="n"/>
      <c r="Q213" s="30" t="inlineStr">
        <is>
          <t>Not Run</t>
        </is>
      </c>
      <c r="R213" s="30" t="n"/>
      <c r="S213" s="31" t="n"/>
      <c r="T213" s="29" t="n"/>
    </row>
    <row r="214" ht="64" customHeight="1">
      <c r="A214" s="27" t="inlineStr">
        <is>
          <t>TC-SES-011</t>
        </is>
      </c>
      <c r="B214" s="4" t="inlineStr">
        <is>
          <t>Session &amp; access control</t>
        </is>
      </c>
      <c r="C214" s="4" t="inlineStr">
        <is>
          <t>Account suspended during an active session</t>
        </is>
      </c>
      <c r="D214" s="28" t="inlineStr">
        <is>
          <t>Security</t>
        </is>
      </c>
      <c r="E214" s="28" t="inlineStr">
        <is>
          <t>High</t>
        </is>
      </c>
      <c r="F214" s="28" t="inlineStr">
        <is>
          <t>UI</t>
        </is>
      </c>
      <c r="G214" s="28" t="inlineStr">
        <is>
          <t>Manual UI</t>
        </is>
      </c>
      <c r="H214" s="28" t="inlineStr">
        <is>
          <t>Core</t>
        </is>
      </c>
      <c r="I214" s="4" t="inlineStr">
        <is>
          <t>App running and reachable; tester is signed out.</t>
        </is>
      </c>
      <c r="J214" s="4" t="inlineStr">
        <is>
          <t>1. Sign in as [ACC-01].
2. Suspend the account from the admin console.
3. Navigate and trigger a server action; repeat after 35 s.</t>
        </is>
      </c>
      <c r="K214" s="4" t="inlineStr">
        <is>
          <t>[ACC-01]</t>
        </is>
      </c>
      <c r="L214" s="4" t="inlineStr">
        <is>
          <t>Server functions are refused immediately. Page navigations are redirected to /login within the identity-cache TTL (30 s).</t>
        </is>
      </c>
      <c r="M214" s="4" t="inlineStr">
        <is>
          <t>SES-03, SES-10</t>
        </is>
      </c>
      <c r="N214" s="4" t="inlineStr">
        <is>
          <t>server/auth.ts:95; current-user.ts:21</t>
        </is>
      </c>
      <c r="O214" s="28" t="inlineStr"/>
      <c r="P214" s="29" t="n"/>
      <c r="Q214" s="30" t="inlineStr">
        <is>
          <t>Not Run</t>
        </is>
      </c>
      <c r="R214" s="30" t="n"/>
      <c r="S214" s="31" t="n"/>
      <c r="T214" s="29" t="n"/>
    </row>
    <row r="215" ht="49" customHeight="1">
      <c r="A215" s="27" t="inlineStr">
        <is>
          <t>TC-SES-012</t>
        </is>
      </c>
      <c r="B215" s="4" t="inlineStr">
        <is>
          <t>Session &amp; access control</t>
        </is>
      </c>
      <c r="C215" s="4" t="inlineStr">
        <is>
          <t>Administrator signs the user out</t>
        </is>
      </c>
      <c r="D215" s="28" t="inlineStr">
        <is>
          <t>Security</t>
        </is>
      </c>
      <c r="E215" s="28" t="inlineStr">
        <is>
          <t>High</t>
        </is>
      </c>
      <c r="F215" s="28" t="inlineStr">
        <is>
          <t>UI</t>
        </is>
      </c>
      <c r="G215" s="28" t="inlineStr">
        <is>
          <t>Manual UI</t>
        </is>
      </c>
      <c r="H215" s="28" t="inlineStr">
        <is>
          <t>Core</t>
        </is>
      </c>
      <c r="I215" s="4" t="inlineStr">
        <is>
          <t>App running and reachable; tester is signed out.</t>
        </is>
      </c>
      <c r="J215" s="4" t="inlineStr">
        <is>
          <t>1. Sign in as [ACC-01].
2. Admin sets sessions_revoked_at = now.
3. Navigate and call a server function.</t>
        </is>
      </c>
      <c r="K215" s="4" t="inlineStr">
        <is>
          <t>[ACC-01]</t>
        </is>
      </c>
      <c r="L215" s="4" t="inlineStr">
        <is>
          <t>Next profile fetch returns signed out and clears cookies; server functions throw "Unauthorized: session was signed out"; user lands on /login.</t>
        </is>
      </c>
      <c r="M215" s="4" t="inlineStr">
        <is>
          <t>SES-04</t>
        </is>
      </c>
      <c r="N215" s="4" t="inlineStr">
        <is>
          <t>server/auth.ts:62-69; __root.tsx:55-59</t>
        </is>
      </c>
      <c r="O215" s="28" t="inlineStr"/>
      <c r="P215" s="29" t="n"/>
      <c r="Q215" s="30" t="inlineStr">
        <is>
          <t>Not Run</t>
        </is>
      </c>
      <c r="R215" s="30" t="n"/>
      <c r="S215" s="31" t="n"/>
      <c r="T215" s="29" t="n"/>
    </row>
    <row r="216" ht="34" customHeight="1">
      <c r="A216" s="27" t="inlineStr">
        <is>
          <t>TC-SES-013</t>
        </is>
      </c>
      <c r="B216" s="4" t="inlineStr">
        <is>
          <t>Session &amp; access control</t>
        </is>
      </c>
      <c r="C216" s="4" t="inlineStr">
        <is>
          <t>isSessionRevoked: token issued exactly at the revocation time</t>
        </is>
      </c>
      <c r="D216" s="28" t="inlineStr">
        <is>
          <t>Boundary</t>
        </is>
      </c>
      <c r="E216" s="28" t="inlineStr">
        <is>
          <t>High</t>
        </is>
      </c>
      <c r="F216" s="28" t="inlineStr">
        <is>
          <t>Unit</t>
        </is>
      </c>
      <c r="G216" s="28" t="inlineStr">
        <is>
          <t>Unit (needs runner)</t>
        </is>
      </c>
      <c r="H216" s="28" t="inlineStr">
        <is>
          <t>Core</t>
        </is>
      </c>
      <c r="I216" s="4" t="inlineStr">
        <is>
          <t>App running and reachable; tester is signed out.</t>
        </is>
      </c>
      <c r="J216" s="4" t="inlineStr">
        <is>
          <t>1. Call isSessionRevoked({issuedAt: T}, ISO(T*1000)).</t>
        </is>
      </c>
      <c r="K216" s="4" t="inlineStr">
        <is>
          <t>iat = T, revoked_at = T</t>
        </is>
      </c>
      <c r="L216" s="4" t="inlineStr">
        <is>
          <t>false - strict less-than; a token issued at the same instant is still valid.</t>
        </is>
      </c>
      <c r="M216" s="4" t="inlineStr">
        <is>
          <t>SES-05</t>
        </is>
      </c>
      <c r="N216" s="4" t="inlineStr">
        <is>
          <t>server/auth.ts:62-69</t>
        </is>
      </c>
      <c r="O216" s="28" t="inlineStr"/>
      <c r="P216" s="29" t="n"/>
      <c r="Q216" s="30" t="inlineStr">
        <is>
          <t>Not Run</t>
        </is>
      </c>
      <c r="R216" s="30" t="n"/>
      <c r="S216" s="31" t="n"/>
      <c r="T216" s="29" t="n"/>
    </row>
    <row r="217" ht="34" customHeight="1">
      <c r="A217" s="27" t="inlineStr">
        <is>
          <t>TC-SES-014</t>
        </is>
      </c>
      <c r="B217" s="4" t="inlineStr">
        <is>
          <t>Session &amp; access control</t>
        </is>
      </c>
      <c r="C217" s="4" t="inlineStr">
        <is>
          <t>isSessionRevoked: token issued 1 s before revocation</t>
        </is>
      </c>
      <c r="D217" s="28" t="inlineStr">
        <is>
          <t>Boundary</t>
        </is>
      </c>
      <c r="E217" s="28" t="inlineStr">
        <is>
          <t>High</t>
        </is>
      </c>
      <c r="F217" s="28" t="inlineStr">
        <is>
          <t>Unit</t>
        </is>
      </c>
      <c r="G217" s="28" t="inlineStr">
        <is>
          <t>Unit (needs runner)</t>
        </is>
      </c>
      <c r="H217" s="28" t="inlineStr">
        <is>
          <t>Core</t>
        </is>
      </c>
      <c r="I217" s="4" t="inlineStr">
        <is>
          <t>App running and reachable; tester is signed out.</t>
        </is>
      </c>
      <c r="J217" s="4" t="inlineStr">
        <is>
          <t>1. Call isSessionRevoked({issuedAt: T-1}, ISO(T*1000)).</t>
        </is>
      </c>
      <c r="K217" s="4" t="inlineStr">
        <is>
          <t>iat = T-1, revoked_at = T</t>
        </is>
      </c>
      <c r="L217" s="4" t="inlineStr">
        <is>
          <t>true.</t>
        </is>
      </c>
      <c r="M217" s="4" t="inlineStr">
        <is>
          <t>SES-04, SES-05</t>
        </is>
      </c>
      <c r="N217" s="4" t="inlineStr">
        <is>
          <t>server/auth.ts:62-69</t>
        </is>
      </c>
      <c r="O217" s="28" t="inlineStr"/>
      <c r="P217" s="29" t="n"/>
      <c r="Q217" s="30" t="inlineStr">
        <is>
          <t>Not Run</t>
        </is>
      </c>
      <c r="R217" s="30" t="n"/>
      <c r="S217" s="31" t="n"/>
      <c r="T217" s="29" t="n"/>
    </row>
    <row r="218" ht="34" customHeight="1">
      <c r="A218" s="27" t="inlineStr">
        <is>
          <t>TC-SES-015</t>
        </is>
      </c>
      <c r="B218" s="4" t="inlineStr">
        <is>
          <t>Session &amp; access control</t>
        </is>
      </c>
      <c r="C218" s="4" t="inlineStr">
        <is>
          <t>isSessionRevoked: token issued 1 s after revocation (fresh sign-in)</t>
        </is>
      </c>
      <c r="D218" s="28" t="inlineStr">
        <is>
          <t>Boundary</t>
        </is>
      </c>
      <c r="E218" s="28" t="inlineStr">
        <is>
          <t>High</t>
        </is>
      </c>
      <c r="F218" s="28" t="inlineStr">
        <is>
          <t>Unit</t>
        </is>
      </c>
      <c r="G218" s="28" t="inlineStr">
        <is>
          <t>Unit (needs runner)</t>
        </is>
      </c>
      <c r="H218" s="28" t="inlineStr">
        <is>
          <t>Core</t>
        </is>
      </c>
      <c r="I218" s="4" t="inlineStr">
        <is>
          <t>App running and reachable; tester is signed out.</t>
        </is>
      </c>
      <c r="J218" s="4" t="inlineStr">
        <is>
          <t>1. Call isSessionRevoked({issuedAt: T+1}, ISO(T*1000)).</t>
        </is>
      </c>
      <c r="K218" s="4" t="inlineStr">
        <is>
          <t>iat = T+1, revoked_at = T</t>
        </is>
      </c>
      <c r="L218" s="4" t="inlineStr">
        <is>
          <t>false - signing in again after a forced sign-out works.</t>
        </is>
      </c>
      <c r="M218" s="4" t="inlineStr">
        <is>
          <t>SES-05</t>
        </is>
      </c>
      <c r="N218" s="4" t="inlineStr">
        <is>
          <t>server/auth.ts:62-69</t>
        </is>
      </c>
      <c r="O218" s="28" t="inlineStr"/>
      <c r="P218" s="29" t="n"/>
      <c r="Q218" s="30" t="inlineStr">
        <is>
          <t>Not Run</t>
        </is>
      </c>
      <c r="R218" s="30" t="n"/>
      <c r="S218" s="31" t="n"/>
      <c r="T218" s="29" t="n"/>
    </row>
    <row r="219" ht="34" customHeight="1">
      <c r="A219" s="27" t="inlineStr">
        <is>
          <t>TC-SES-016</t>
        </is>
      </c>
      <c r="B219" s="4" t="inlineStr">
        <is>
          <t>Session &amp; access control</t>
        </is>
      </c>
      <c r="C219" s="4" t="inlineStr">
        <is>
          <t>isSessionRevoked: missing iat with a revocation marker</t>
        </is>
      </c>
      <c r="D219" s="28" t="inlineStr">
        <is>
          <t>Edge</t>
        </is>
      </c>
      <c r="E219" s="28" t="inlineStr">
        <is>
          <t>Medium</t>
        </is>
      </c>
      <c r="F219" s="28" t="inlineStr">
        <is>
          <t>Unit</t>
        </is>
      </c>
      <c r="G219" s="28" t="inlineStr">
        <is>
          <t>Unit (needs runner)</t>
        </is>
      </c>
      <c r="H219" s="28" t="inlineStr">
        <is>
          <t>Extended</t>
        </is>
      </c>
      <c r="I219" s="4" t="inlineStr">
        <is>
          <t>App running and reachable; tester is signed out.</t>
        </is>
      </c>
      <c r="J219" s="4" t="inlineStr">
        <is>
          <t>1. Call isSessionRevoked({issuedAt: null}, &lt;any ISO date&gt;).</t>
        </is>
      </c>
      <c r="K219" s="4" t="inlineStr">
        <is>
          <t>iat = null</t>
        </is>
      </c>
      <c r="L219" s="4" t="inlineStr">
        <is>
          <t>true - a token without an issued-at time is treated as revoked once a marker exists.</t>
        </is>
      </c>
      <c r="M219" s="4" t="inlineStr">
        <is>
          <t>SES-06</t>
        </is>
      </c>
      <c r="N219" s="4" t="inlineStr">
        <is>
          <t>server/auth.ts:62-67</t>
        </is>
      </c>
      <c r="O219" s="28" t="inlineStr"/>
      <c r="P219" s="29" t="n"/>
      <c r="Q219" s="30" t="inlineStr">
        <is>
          <t>Not Run</t>
        </is>
      </c>
      <c r="R219" s="30" t="n"/>
      <c r="S219" s="31" t="n"/>
      <c r="T219" s="29" t="n"/>
    </row>
    <row r="220" ht="34" customHeight="1">
      <c r="A220" s="27" t="inlineStr">
        <is>
          <t>TC-SES-017</t>
        </is>
      </c>
      <c r="B220" s="4" t="inlineStr">
        <is>
          <t>Session &amp; access control</t>
        </is>
      </c>
      <c r="C220" s="4" t="inlineStr">
        <is>
          <t>isSessionRevoked: no revocation marker</t>
        </is>
      </c>
      <c r="D220" s="28" t="inlineStr">
        <is>
          <t>Positive</t>
        </is>
      </c>
      <c r="E220" s="28" t="inlineStr">
        <is>
          <t>Medium</t>
        </is>
      </c>
      <c r="F220" s="28" t="inlineStr">
        <is>
          <t>Unit</t>
        </is>
      </c>
      <c r="G220" s="28" t="inlineStr">
        <is>
          <t>Unit (needs runner)</t>
        </is>
      </c>
      <c r="H220" s="28" t="inlineStr">
        <is>
          <t>Extended</t>
        </is>
      </c>
      <c r="I220" s="4" t="inlineStr">
        <is>
          <t>App running and reachable; tester is signed out.</t>
        </is>
      </c>
      <c r="J220" s="4" t="inlineStr">
        <is>
          <t>1. Call with revoked_at = null / undefined / "", with and without iat.</t>
        </is>
      </c>
      <c r="K220" s="4" t="inlineStr">
        <is>
          <t>null | undefined | ""</t>
        </is>
      </c>
      <c r="L220" s="4" t="inlineStr">
        <is>
          <t>false in every case.</t>
        </is>
      </c>
      <c r="M220" s="4" t="inlineStr">
        <is>
          <t>SES-07</t>
        </is>
      </c>
      <c r="N220" s="4" t="inlineStr">
        <is>
          <t>server/auth.ts:62-65</t>
        </is>
      </c>
      <c r="O220" s="28" t="inlineStr"/>
      <c r="P220" s="29" t="n"/>
      <c r="Q220" s="30" t="inlineStr">
        <is>
          <t>Not Run</t>
        </is>
      </c>
      <c r="R220" s="30" t="n"/>
      <c r="S220" s="31" t="n"/>
      <c r="T220" s="29" t="n"/>
    </row>
    <row r="221" ht="49" customHeight="1">
      <c r="A221" s="27" t="inlineStr">
        <is>
          <t>TC-SES-018</t>
        </is>
      </c>
      <c r="B221" s="4" t="inlineStr">
        <is>
          <t>Session &amp; access control</t>
        </is>
      </c>
      <c r="C221" s="4" t="inlineStr">
        <is>
          <t>Valid token but profile row missing</t>
        </is>
      </c>
      <c r="D221" s="28" t="inlineStr">
        <is>
          <t>Negative</t>
        </is>
      </c>
      <c r="E221" s="28" t="inlineStr">
        <is>
          <t>High</t>
        </is>
      </c>
      <c r="F221" s="28" t="inlineStr">
        <is>
          <t>API</t>
        </is>
      </c>
      <c r="G221" s="28" t="inlineStr">
        <is>
          <t>Direct API call</t>
        </is>
      </c>
      <c r="H221" s="28" t="inlineStr">
        <is>
          <t>Core</t>
        </is>
      </c>
      <c r="I221" s="4" t="inlineStr">
        <is>
          <t>App running and reachable; tester is signed out.</t>
        </is>
      </c>
      <c r="J221" s="4" t="inlineStr">
        <is>
          <t>1. Delete the profile of a signed-in user.
2. Call a protected server function.</t>
        </is>
      </c>
      <c r="K221" s="4" t="inlineStr">
        <is>
          <t>[ACC-13]</t>
        </is>
      </c>
      <c r="L221" s="4" t="inlineStr">
        <is>
          <t>requireActiveSession throws "Unauthorized: profile missing". Note rbacMiddleware instead defaults the role to applicant when no profile is found - confirm this inconsistency is acceptable.</t>
        </is>
      </c>
      <c r="M221" s="4" t="inlineStr">
        <is>
          <t>SES-08</t>
        </is>
      </c>
      <c r="N221" s="4" t="inlineStr">
        <is>
          <t>server/auth.ts:88; middleware/auth.ts:21-41</t>
        </is>
      </c>
      <c r="O221" s="28" t="inlineStr"/>
      <c r="P221" s="29" t="n"/>
      <c r="Q221" s="30" t="inlineStr">
        <is>
          <t>Not Run</t>
        </is>
      </c>
      <c r="R221" s="30" t="n"/>
      <c r="S221" s="31" t="n"/>
      <c r="T221" s="29" t="n"/>
    </row>
    <row r="222" ht="34" customHeight="1">
      <c r="A222" s="27" t="inlineStr">
        <is>
          <t>TC-SES-019</t>
        </is>
      </c>
      <c r="B222" s="4" t="inlineStr">
        <is>
          <t>Session &amp; access control</t>
        </is>
      </c>
      <c r="C222" s="4" t="inlineStr">
        <is>
          <t>Tampered session cookie</t>
        </is>
      </c>
      <c r="D222" s="28" t="inlineStr">
        <is>
          <t>Security</t>
        </is>
      </c>
      <c r="E222" s="28" t="inlineStr">
        <is>
          <t>High</t>
        </is>
      </c>
      <c r="F222" s="28" t="inlineStr">
        <is>
          <t>UI</t>
        </is>
      </c>
      <c r="G222" s="28" t="inlineStr">
        <is>
          <t>Manual UI</t>
        </is>
      </c>
      <c r="H222" s="28" t="inlineStr">
        <is>
          <t>Core</t>
        </is>
      </c>
      <c r="I222" s="4" t="inlineStr">
        <is>
          <t>App running and reachable; tester is signed out.</t>
        </is>
      </c>
      <c r="J222" s="4" t="inlineStr">
        <is>
          <t>1. Edit the access-token cookie value.
2. Reload and open /dashboard.</t>
        </is>
      </c>
      <c r="K222" s="4" t="inlineStr">
        <is>
          <t>corrupted JWT</t>
        </is>
      </c>
      <c r="L222" s="4" t="inlineStr">
        <is>
          <t>Treated as signed out; redirected to /login; no 500.</t>
        </is>
      </c>
      <c r="M222" s="4" t="inlineStr">
        <is>
          <t>SES-09</t>
        </is>
      </c>
      <c r="N222" s="4" t="inlineStr">
        <is>
          <t>server/auth.ts:31-54</t>
        </is>
      </c>
      <c r="O222" s="28" t="inlineStr"/>
      <c r="P222" s="29" t="n"/>
      <c r="Q222" s="30" t="inlineStr">
        <is>
          <t>Not Run</t>
        </is>
      </c>
      <c r="R222" s="30" t="n"/>
      <c r="S222" s="31" t="n"/>
      <c r="T222" s="29" t="n"/>
    </row>
    <row r="223" ht="49" customHeight="1">
      <c r="A223" s="27" t="inlineStr">
        <is>
          <t>TC-SES-020</t>
        </is>
      </c>
      <c r="B223" s="4" t="inlineStr">
        <is>
          <t>Session &amp; access control</t>
        </is>
      </c>
      <c r="C223" s="4" t="inlineStr">
        <is>
          <t>Expired access token is refreshed silently</t>
        </is>
      </c>
      <c r="D223" s="28" t="inlineStr">
        <is>
          <t>Positive</t>
        </is>
      </c>
      <c r="E223" s="28" t="inlineStr">
        <is>
          <t>Medium</t>
        </is>
      </c>
      <c r="F223" s="28" t="inlineStr">
        <is>
          <t>UI</t>
        </is>
      </c>
      <c r="G223" s="28" t="inlineStr">
        <is>
          <t>Manual UI</t>
        </is>
      </c>
      <c r="H223" s="28" t="inlineStr">
        <is>
          <t>Extended</t>
        </is>
      </c>
      <c r="I223" s="4" t="inlineStr">
        <is>
          <t>App running and reachable; tester is signed out.</t>
        </is>
      </c>
      <c r="J223" s="4" t="inlineStr">
        <is>
          <t>1. Wait for the access token to expire (or shorten JWT expiry in a test project).
2. Navigate.</t>
        </is>
      </c>
      <c r="K223" s="4" t="inlineStr">
        <is>
          <t>valid refresh token</t>
        </is>
      </c>
      <c r="L223" s="4" t="inlineStr">
        <is>
          <t>Session refreshes without prompting; page loads normally.</t>
        </is>
      </c>
      <c r="M223" s="4" t="inlineStr">
        <is>
          <t>SES-23</t>
        </is>
      </c>
      <c r="N223" s="4" t="inlineStr">
        <is>
          <t>utils/supabase</t>
        </is>
      </c>
      <c r="O223" s="28" t="inlineStr"/>
      <c r="P223" s="29" t="n"/>
      <c r="Q223" s="30" t="inlineStr">
        <is>
          <t>Not Run</t>
        </is>
      </c>
      <c r="R223" s="30" t="n"/>
      <c r="S223" s="31" t="n"/>
      <c r="T223" s="29" t="n"/>
    </row>
    <row r="224" ht="34" customHeight="1">
      <c r="A224" s="27" t="inlineStr">
        <is>
          <t>TC-SES-021</t>
        </is>
      </c>
      <c r="B224" s="4" t="inlineStr">
        <is>
          <t>Session &amp; access control</t>
        </is>
      </c>
      <c r="C224" s="4" t="inlineStr">
        <is>
          <t>Expired refresh token</t>
        </is>
      </c>
      <c r="D224" s="28" t="inlineStr">
        <is>
          <t>Negative</t>
        </is>
      </c>
      <c r="E224" s="28" t="inlineStr">
        <is>
          <t>Medium</t>
        </is>
      </c>
      <c r="F224" s="28" t="inlineStr">
        <is>
          <t>UI</t>
        </is>
      </c>
      <c r="G224" s="28" t="inlineStr">
        <is>
          <t>Manual UI</t>
        </is>
      </c>
      <c r="H224" s="28" t="inlineStr">
        <is>
          <t>Extended</t>
        </is>
      </c>
      <c r="I224" s="4" t="inlineStr">
        <is>
          <t>App running and reachable; tester is signed out.</t>
        </is>
      </c>
      <c r="J224" s="4" t="inlineStr">
        <is>
          <t>1. Invalidate the refresh token, then navigate.</t>
        </is>
      </c>
      <c r="K224" s="4" t="inlineStr">
        <is>
          <t>revoked refresh token</t>
        </is>
      </c>
      <c r="L224" s="4" t="inlineStr">
        <is>
          <t>User is redirected to /login with the original page as redirect.</t>
        </is>
      </c>
      <c r="M224" s="4" t="inlineStr">
        <is>
          <t>SES-09, SES-23</t>
        </is>
      </c>
      <c r="N224" s="4" t="inlineStr">
        <is>
          <t>utils/supabase</t>
        </is>
      </c>
      <c r="O224" s="28" t="inlineStr"/>
      <c r="P224" s="29" t="n"/>
      <c r="Q224" s="30" t="inlineStr">
        <is>
          <t>Not Run</t>
        </is>
      </c>
      <c r="R224" s="30" t="n"/>
      <c r="S224" s="31" t="n"/>
      <c r="T224" s="29" t="n"/>
    </row>
    <row r="225" ht="49" customHeight="1">
      <c r="A225" s="27" t="inlineStr">
        <is>
          <t>TC-SES-022</t>
        </is>
      </c>
      <c r="B225" s="4" t="inlineStr">
        <is>
          <t>Session &amp; access control</t>
        </is>
      </c>
      <c r="C225" s="4" t="inlineStr">
        <is>
          <t>Identity cache is cleared when switching accounts</t>
        </is>
      </c>
      <c r="D225" s="28" t="inlineStr">
        <is>
          <t>Edge</t>
        </is>
      </c>
      <c r="E225" s="28" t="inlineStr">
        <is>
          <t>High</t>
        </is>
      </c>
      <c r="F225" s="28" t="inlineStr">
        <is>
          <t>UI</t>
        </is>
      </c>
      <c r="G225" s="28" t="inlineStr">
        <is>
          <t>Manual UI</t>
        </is>
      </c>
      <c r="H225" s="28" t="inlineStr">
        <is>
          <t>Core</t>
        </is>
      </c>
      <c r="I225" s="4" t="inlineStr">
        <is>
          <t>App running and reachable; tester is signed out.</t>
        </is>
      </c>
      <c r="J225" s="4" t="inlineStr">
        <is>
          <t>1. Sign in as A.
2. Sign out and immediately sign in as B (within 30 s).</t>
        </is>
      </c>
      <c r="K225" s="4" t="inlineStr">
        <is>
          <t>[ACC-01] then [ACC-05]</t>
        </is>
      </c>
      <c r="L225" s="4" t="inlineStr">
        <is>
          <t>B sees only B's name, role and navigation; nothing of A's identity appears.</t>
        </is>
      </c>
      <c r="M225" s="4" t="inlineStr">
        <is>
          <t>SES-10, LGN-16, OUT-02</t>
        </is>
      </c>
      <c r="N225" s="4" t="inlineStr">
        <is>
          <t>current-user.ts:33-61</t>
        </is>
      </c>
      <c r="O225" s="28" t="inlineStr"/>
      <c r="P225" s="29" t="n"/>
      <c r="Q225" s="30" t="inlineStr">
        <is>
          <t>Not Run</t>
        </is>
      </c>
      <c r="R225" s="30" t="n"/>
      <c r="S225" s="31" t="n"/>
      <c r="T225" s="29" t="n"/>
    </row>
    <row r="226" ht="34" customHeight="1">
      <c r="A226" s="27" t="inlineStr">
        <is>
          <t>TC-SES-023</t>
        </is>
      </c>
      <c r="B226" s="4" t="inlineStr">
        <is>
          <t>Session &amp; access control</t>
        </is>
      </c>
      <c r="C226" s="4" t="inlineStr">
        <is>
          <t>No cross-user identity leakage on the server</t>
        </is>
      </c>
      <c r="D226" s="28" t="inlineStr">
        <is>
          <t>Security</t>
        </is>
      </c>
      <c r="E226" s="28" t="inlineStr">
        <is>
          <t>High</t>
        </is>
      </c>
      <c r="F226" s="28" t="inlineStr">
        <is>
          <t>API</t>
        </is>
      </c>
      <c r="G226" s="28" t="inlineStr">
        <is>
          <t>Direct API call</t>
        </is>
      </c>
      <c r="H226" s="28" t="inlineStr">
        <is>
          <t>Core</t>
        </is>
      </c>
      <c r="I226" s="4" t="inlineStr">
        <is>
          <t>App running and reachable; tester is signed out.</t>
        </is>
      </c>
      <c r="J226" s="4" t="inlineStr">
        <is>
          <t>1. Run concurrent requests as two users and compare the identity each receives.</t>
        </is>
      </c>
      <c r="K226" s="4" t="inlineStr">
        <is>
          <t>two sessions in parallel</t>
        </is>
      </c>
      <c r="L226" s="4" t="inlineStr">
        <is>
          <t>Each response contains only its own identity; the module-level cache is client-only.</t>
        </is>
      </c>
      <c r="M226" s="4" t="inlineStr">
        <is>
          <t>SES-11</t>
        </is>
      </c>
      <c r="N226" s="4" t="inlineStr">
        <is>
          <t>current-user.ts:36</t>
        </is>
      </c>
      <c r="O226" s="28" t="inlineStr"/>
      <c r="P226" s="29" t="n"/>
      <c r="Q226" s="30" t="inlineStr">
        <is>
          <t>Not Run</t>
        </is>
      </c>
      <c r="R226" s="30" t="n"/>
      <c r="S226" s="31" t="n"/>
      <c r="T226" s="29" t="n"/>
    </row>
    <row r="227" ht="34" customHeight="1">
      <c r="A227" s="27" t="inlineStr">
        <is>
          <t>TC-SES-024</t>
        </is>
      </c>
      <c r="B227" s="4" t="inlineStr">
        <is>
          <t>Session &amp; access control</t>
        </is>
      </c>
      <c r="C227" s="4" t="inlineStr">
        <is>
          <t>Blank-name user is held at onboarding</t>
        </is>
      </c>
      <c r="D227" s="28" t="inlineStr">
        <is>
          <t>Negative</t>
        </is>
      </c>
      <c r="E227" s="28" t="inlineStr">
        <is>
          <t>High</t>
        </is>
      </c>
      <c r="F227" s="28" t="inlineStr">
        <is>
          <t>UI</t>
        </is>
      </c>
      <c r="G227" s="28" t="inlineStr">
        <is>
          <t>Manual UI</t>
        </is>
      </c>
      <c r="H227" s="28" t="inlineStr">
        <is>
          <t>Core</t>
        </is>
      </c>
      <c r="I227" s="4" t="inlineStr">
        <is>
          <t>App running and reachable; tester is signed out.</t>
        </is>
      </c>
      <c r="J227" s="4" t="inlineStr">
        <is>
          <t>1. Sign in with a profile whose names are empty.
2. Open /dashboard, /services, /apply/&lt;code&gt;.</t>
        </is>
      </c>
      <c r="K227" s="4" t="inlineStr">
        <is>
          <t>empty first/last</t>
        </is>
      </c>
      <c r="L227" s="4" t="inlineStr">
        <is>
          <t>Every authed route redirects to /onboarding until both names are saved.</t>
        </is>
      </c>
      <c r="M227" s="4" t="inlineStr">
        <is>
          <t>SES-12</t>
        </is>
      </c>
      <c r="N227" s="4" t="inlineStr">
        <is>
          <t>_authed/route.tsx:50-58</t>
        </is>
      </c>
      <c r="O227" s="28" t="inlineStr"/>
      <c r="P227" s="29" t="n"/>
      <c r="Q227" s="30" t="inlineStr">
        <is>
          <t>Not Run</t>
        </is>
      </c>
      <c r="R227" s="30" t="n"/>
      <c r="S227" s="31" t="n"/>
      <c r="T227" s="29" t="n"/>
    </row>
    <row r="228" ht="34" customHeight="1">
      <c r="A228" s="27" t="inlineStr">
        <is>
          <t>TC-SES-025</t>
        </is>
      </c>
      <c r="B228" s="4" t="inlineStr">
        <is>
          <t>Session &amp; access control</t>
        </is>
      </c>
      <c r="C228" s="4" t="inlineStr">
        <is>
          <t>Whitespace-only names are treated as blank</t>
        </is>
      </c>
      <c r="D228" s="28" t="inlineStr">
        <is>
          <t>Boundary</t>
        </is>
      </c>
      <c r="E228" s="28" t="inlineStr">
        <is>
          <t>Medium</t>
        </is>
      </c>
      <c r="F228" s="28" t="inlineStr">
        <is>
          <t>UI</t>
        </is>
      </c>
      <c r="G228" s="28" t="inlineStr">
        <is>
          <t>Manual UI</t>
        </is>
      </c>
      <c r="H228" s="28" t="inlineStr">
        <is>
          <t>Extended</t>
        </is>
      </c>
      <c r="I228" s="4" t="inlineStr">
        <is>
          <t>App running and reachable; tester is signed out.</t>
        </is>
      </c>
      <c r="J228" s="4" t="inlineStr">
        <is>
          <t>1. Set first_name = "   " and last_name = "X".
2. Sign in.</t>
        </is>
      </c>
      <c r="K228" s="4" t="inlineStr">
        <is>
          <t>"   " / X</t>
        </is>
      </c>
      <c r="L228" s="4" t="inlineStr">
        <is>
          <t>Redirected to /onboarding (names are trimmed in the guard).</t>
        </is>
      </c>
      <c r="M228" s="4" t="inlineStr">
        <is>
          <t>SES-12</t>
        </is>
      </c>
      <c r="N228" s="4" t="inlineStr">
        <is>
          <t>_authed/route.tsx:50-52</t>
        </is>
      </c>
      <c r="O228" s="28" t="inlineStr"/>
      <c r="P228" s="29" t="n"/>
      <c r="Q228" s="30" t="inlineStr">
        <is>
          <t>Not Run</t>
        </is>
      </c>
      <c r="R228" s="30" t="n"/>
      <c r="S228" s="31" t="n"/>
      <c r="T228" s="29" t="n"/>
    </row>
    <row r="229" ht="34" customHeight="1">
      <c r="A229" s="27" t="inlineStr">
        <is>
          <t>TC-SES-026</t>
        </is>
      </c>
      <c r="B229" s="4" t="inlineStr">
        <is>
          <t>Session &amp; access control</t>
        </is>
      </c>
      <c r="C229" s="4" t="inlineStr">
        <is>
          <t>Named user cannot revisit onboarding</t>
        </is>
      </c>
      <c r="D229" s="28" t="inlineStr">
        <is>
          <t>Negative</t>
        </is>
      </c>
      <c r="E229" s="28" t="inlineStr">
        <is>
          <t>Low</t>
        </is>
      </c>
      <c r="F229" s="28" t="inlineStr">
        <is>
          <t>UI</t>
        </is>
      </c>
      <c r="G229" s="28" t="inlineStr">
        <is>
          <t>Manual UI</t>
        </is>
      </c>
      <c r="H229" s="28" t="inlineStr">
        <is>
          <t>Extended</t>
        </is>
      </c>
      <c r="I229" s="4" t="inlineStr">
        <is>
          <t>App running and reachable; tester is signed out.</t>
        </is>
      </c>
      <c r="J229" s="4" t="inlineStr">
        <is>
          <t>1. Sign in with complete names and open /onboarding.</t>
        </is>
      </c>
      <c r="K229" s="4" t="inlineStr">
        <is>
          <t>[ACC-01]</t>
        </is>
      </c>
      <c r="L229" s="4" t="inlineStr">
        <is>
          <t>Redirected to /dashboard.</t>
        </is>
      </c>
      <c r="M229" s="4" t="inlineStr">
        <is>
          <t>SES-13</t>
        </is>
      </c>
      <c r="N229" s="4" t="inlineStr">
        <is>
          <t>onboarding.tsx:5-10</t>
        </is>
      </c>
      <c r="O229" s="28" t="inlineStr"/>
      <c r="P229" s="29" t="n"/>
      <c r="Q229" s="30" t="inlineStr">
        <is>
          <t>Not Run</t>
        </is>
      </c>
      <c r="R229" s="30" t="n"/>
      <c r="S229" s="31" t="n"/>
      <c r="T229" s="29" t="n"/>
    </row>
    <row r="230" ht="49" customHeight="1">
      <c r="A230" s="27" t="inlineStr">
        <is>
          <t>TC-SES-027</t>
        </is>
      </c>
      <c r="B230" s="4" t="inlineStr">
        <is>
          <t>Session &amp; access control</t>
        </is>
      </c>
      <c r="C230" s="4" t="inlineStr">
        <is>
          <t>Signed-in user opens /login, /signup or /forgot-password</t>
        </is>
      </c>
      <c r="D230" s="28" t="inlineStr">
        <is>
          <t>Edge</t>
        </is>
      </c>
      <c r="E230" s="28" t="inlineStr">
        <is>
          <t>Low</t>
        </is>
      </c>
      <c r="F230" s="28" t="inlineStr">
        <is>
          <t>UI</t>
        </is>
      </c>
      <c r="G230" s="28" t="inlineStr">
        <is>
          <t>Manual UI</t>
        </is>
      </c>
      <c r="H230" s="28" t="inlineStr">
        <is>
          <t>Extended</t>
        </is>
      </c>
      <c r="I230" s="4" t="inlineStr">
        <is>
          <t>App running and reachable; tester is signed out.</t>
        </is>
      </c>
      <c r="J230" s="4" t="inlineStr">
        <is>
          <t>1. While signed in, open /login, then /signup, then /forgot-password.</t>
        </is>
      </c>
      <c r="K230" s="4" t="inlineStr">
        <is>
          <t>[ACC-01]</t>
        </is>
      </c>
      <c r="L230" s="4" t="inlineStr">
        <is>
          <t>[Known issue F-12 - current code differs] Ideally redirected to /dashboard. Currently the forms render because public routes skip the user lookup.</t>
        </is>
      </c>
      <c r="M230" s="4" t="inlineStr">
        <is>
          <t>SES-18</t>
        </is>
      </c>
      <c r="N230" s="4" t="inlineStr">
        <is>
          <t>__root.tsx:81-84</t>
        </is>
      </c>
      <c r="O230" s="28" t="inlineStr">
        <is>
          <t>F-12</t>
        </is>
      </c>
      <c r="P230" s="29" t="n"/>
      <c r="Q230" s="30" t="inlineStr">
        <is>
          <t>Not Run</t>
        </is>
      </c>
      <c r="R230" s="30" t="n"/>
      <c r="S230" s="31" t="n"/>
      <c r="T230" s="29" t="n"/>
    </row>
    <row r="231" ht="34" customHeight="1">
      <c r="A231" s="27" t="inlineStr">
        <is>
          <t>TC-SES-028</t>
        </is>
      </c>
      <c r="B231" s="4" t="inlineStr">
        <is>
          <t>Session &amp; access control</t>
        </is>
      </c>
      <c r="C231" s="4" t="inlineStr">
        <is>
          <t>Session persists across reload and new tab</t>
        </is>
      </c>
      <c r="D231" s="28" t="inlineStr">
        <is>
          <t>Positive</t>
        </is>
      </c>
      <c r="E231" s="28" t="inlineStr">
        <is>
          <t>Medium</t>
        </is>
      </c>
      <c r="F231" s="28" t="inlineStr">
        <is>
          <t>UI</t>
        </is>
      </c>
      <c r="G231" s="28" t="inlineStr">
        <is>
          <t>Manual UI</t>
        </is>
      </c>
      <c r="H231" s="28" t="inlineStr">
        <is>
          <t>Extended</t>
        </is>
      </c>
      <c r="I231" s="4" t="inlineStr">
        <is>
          <t>App running and reachable; tester is signed out.</t>
        </is>
      </c>
      <c r="J231" s="4" t="inlineStr">
        <is>
          <t>1. Sign in.
2. Reload; open a second tab at /dashboard.</t>
        </is>
      </c>
      <c r="K231" s="4" t="inlineStr">
        <is>
          <t>[ACC-01]</t>
        </is>
      </c>
      <c r="L231" s="4" t="inlineStr">
        <is>
          <t>Both stay signed in without prompting.</t>
        </is>
      </c>
      <c r="M231" s="4" t="inlineStr">
        <is>
          <t>SES-19</t>
        </is>
      </c>
      <c r="N231" s="4" t="inlineStr">
        <is>
          <t>__root.tsx</t>
        </is>
      </c>
      <c r="O231" s="28" t="inlineStr"/>
      <c r="P231" s="29" t="n"/>
      <c r="Q231" s="30" t="inlineStr">
        <is>
          <t>Not Run</t>
        </is>
      </c>
      <c r="R231" s="30" t="n"/>
      <c r="S231" s="31" t="n"/>
      <c r="T231" s="29" t="n"/>
    </row>
    <row r="232" ht="64" customHeight="1">
      <c r="A232" s="27" t="inlineStr">
        <is>
          <t>TC-SES-029</t>
        </is>
      </c>
      <c r="B232" s="4" t="inlineStr">
        <is>
          <t>Session &amp; access control</t>
        </is>
      </c>
      <c r="C232" s="4" t="inlineStr">
        <is>
          <t>Sign-out in one tab is honoured in another</t>
        </is>
      </c>
      <c r="D232" s="28" t="inlineStr">
        <is>
          <t>Edge</t>
        </is>
      </c>
      <c r="E232" s="28" t="inlineStr">
        <is>
          <t>Medium</t>
        </is>
      </c>
      <c r="F232" s="28" t="inlineStr">
        <is>
          <t>UI</t>
        </is>
      </c>
      <c r="G232" s="28" t="inlineStr">
        <is>
          <t>Manual UI</t>
        </is>
      </c>
      <c r="H232" s="28" t="inlineStr">
        <is>
          <t>Extended</t>
        </is>
      </c>
      <c r="I232" s="4" t="inlineStr">
        <is>
          <t>App running and reachable; tester is signed out.</t>
        </is>
      </c>
      <c r="J232" s="4" t="inlineStr">
        <is>
          <t>1. Sign in in two tabs.
2. Sign out in tab A.
3. Click a navigation link and submit an action in tab B.</t>
        </is>
      </c>
      <c r="K232" s="4" t="inlineStr">
        <is>
          <t>[ACC-01]</t>
        </is>
      </c>
      <c r="L232" s="4" t="inlineStr">
        <is>
          <t>Tab B is redirected to /login on its next navigation or server call; no stale data is changed.</t>
        </is>
      </c>
      <c r="M232" s="4" t="inlineStr">
        <is>
          <t>SES-20</t>
        </is>
      </c>
      <c r="N232" s="4" t="inlineStr">
        <is>
          <t>server/auth.ts; routes/logout.tsx</t>
        </is>
      </c>
      <c r="O232" s="28" t="inlineStr"/>
      <c r="P232" s="29" t="n"/>
      <c r="Q232" s="30" t="inlineStr">
        <is>
          <t>Not Run</t>
        </is>
      </c>
      <c r="R232" s="30" t="n"/>
      <c r="S232" s="31" t="n"/>
      <c r="T232" s="29" t="n"/>
    </row>
    <row r="233" ht="34" customHeight="1">
      <c r="A233" s="27" t="inlineStr">
        <is>
          <t>TC-SES-030</t>
        </is>
      </c>
      <c r="B233" s="4" t="inlineStr">
        <is>
          <t>Session &amp; access control</t>
        </is>
      </c>
      <c r="C233" s="4" t="inlineStr">
        <is>
          <t>Server functions reject unauthenticated calls</t>
        </is>
      </c>
      <c r="D233" s="28" t="inlineStr">
        <is>
          <t>Security</t>
        </is>
      </c>
      <c r="E233" s="28" t="inlineStr">
        <is>
          <t>High</t>
        </is>
      </c>
      <c r="F233" s="28" t="inlineStr">
        <is>
          <t>API</t>
        </is>
      </c>
      <c r="G233" s="28" t="inlineStr">
        <is>
          <t>Direct API call</t>
        </is>
      </c>
      <c r="H233" s="28" t="inlineStr">
        <is>
          <t>Core</t>
        </is>
      </c>
      <c r="I233" s="4" t="inlineStr">
        <is>
          <t>App running and reachable; tester is signed out.</t>
        </is>
      </c>
      <c r="J233" s="4" t="inlineStr">
        <is>
          <t>1. Call a function guarded by rbacMiddleware without cookies.</t>
        </is>
      </c>
      <c r="K233" s="4" t="inlineStr">
        <is>
          <t>no cookie</t>
        </is>
      </c>
      <c r="L233" s="4" t="inlineStr">
        <is>
          <t>Error "Unauthorized: not authenticated"; no data returned.</t>
        </is>
      </c>
      <c r="M233" s="4" t="inlineStr">
        <is>
          <t>SES-16</t>
        </is>
      </c>
      <c r="N233" s="4" t="inlineStr">
        <is>
          <t>middleware/auth.ts:17-19</t>
        </is>
      </c>
      <c r="O233" s="28" t="inlineStr"/>
      <c r="P233" s="29" t="n"/>
      <c r="Q233" s="30" t="inlineStr">
        <is>
          <t>Not Run</t>
        </is>
      </c>
      <c r="R233" s="30" t="n"/>
      <c r="S233" s="31" t="n"/>
      <c r="T233" s="29" t="n"/>
    </row>
    <row r="234" ht="34" customHeight="1">
      <c r="A234" s="27" t="inlineStr">
        <is>
          <t>TC-SES-031</t>
        </is>
      </c>
      <c r="B234" s="4" t="inlineStr">
        <is>
          <t>Session &amp; access control</t>
        </is>
      </c>
      <c r="C234" s="4" t="inlineStr">
        <is>
          <t>Server functions enforce permissions, not just login</t>
        </is>
      </c>
      <c r="D234" s="28" t="inlineStr">
        <is>
          <t>Security</t>
        </is>
      </c>
      <c r="E234" s="28" t="inlineStr">
        <is>
          <t>High</t>
        </is>
      </c>
      <c r="F234" s="28" t="inlineStr">
        <is>
          <t>API</t>
        </is>
      </c>
      <c r="G234" s="28" t="inlineStr">
        <is>
          <t>Direct API call</t>
        </is>
      </c>
      <c r="H234" s="28" t="inlineStr">
        <is>
          <t>Core</t>
        </is>
      </c>
      <c r="I234" s="4" t="inlineStr">
        <is>
          <t>App running and reachable; tester is signed out.</t>
        </is>
      </c>
      <c r="J234" s="4" t="inlineStr">
        <is>
          <t>1. As an applicant call a staff-only function (e.g. process request).</t>
        </is>
      </c>
      <c r="K234" s="4" t="inlineStr">
        <is>
          <t>[ACC-01]</t>
        </is>
      </c>
      <c r="L234" s="4" t="inlineStr">
        <is>
          <t>Error "Forbidden: requires "&lt;permission&gt;" permission".</t>
        </is>
      </c>
      <c r="M234" s="4" t="inlineStr">
        <is>
          <t>SES-17</t>
        </is>
      </c>
      <c r="N234" s="4" t="inlineStr">
        <is>
          <t>middleware/auth.ts:51-59</t>
        </is>
      </c>
      <c r="O234" s="28" t="inlineStr"/>
      <c r="P234" s="29" t="n"/>
      <c r="Q234" s="30" t="inlineStr">
        <is>
          <t>Not Run</t>
        </is>
      </c>
      <c r="R234" s="30" t="n"/>
      <c r="S234" s="31" t="n"/>
      <c r="T234" s="29" t="n"/>
    </row>
    <row r="235" ht="49" customHeight="1">
      <c r="A235" s="27" t="inlineStr">
        <is>
          <t>TC-SES-032</t>
        </is>
      </c>
      <c r="B235" s="4" t="inlineStr">
        <is>
          <t>Session &amp; access control</t>
        </is>
      </c>
      <c r="C235" s="4" t="inlineStr">
        <is>
          <t>Suspended user blocked by rbacMiddleware</t>
        </is>
      </c>
      <c r="D235" s="28" t="inlineStr">
        <is>
          <t>Security</t>
        </is>
      </c>
      <c r="E235" s="28" t="inlineStr">
        <is>
          <t>High</t>
        </is>
      </c>
      <c r="F235" s="28" t="inlineStr">
        <is>
          <t>API</t>
        </is>
      </c>
      <c r="G235" s="28" t="inlineStr">
        <is>
          <t>Direct API call</t>
        </is>
      </c>
      <c r="H235" s="28" t="inlineStr">
        <is>
          <t>Core</t>
        </is>
      </c>
      <c r="I235" s="4" t="inlineStr">
        <is>
          <t>App running and reachable; tester is signed out.</t>
        </is>
      </c>
      <c r="J235" s="4" t="inlineStr">
        <is>
          <t>1. Suspend a user.
2. Call a protected server function with their still-valid token.</t>
        </is>
      </c>
      <c r="K235" s="4" t="inlineStr">
        <is>
          <t>[ACC-03]</t>
        </is>
      </c>
      <c r="L235" s="4" t="inlineStr">
        <is>
          <t>Error "Forbidden: account is not active".</t>
        </is>
      </c>
      <c r="M235" s="4" t="inlineStr">
        <is>
          <t>SES-03</t>
        </is>
      </c>
      <c r="N235" s="4" t="inlineStr">
        <is>
          <t>middleware/auth.ts:31-34</t>
        </is>
      </c>
      <c r="O235" s="28" t="inlineStr"/>
      <c r="P235" s="29" t="n"/>
      <c r="Q235" s="30" t="inlineStr">
        <is>
          <t>Not Run</t>
        </is>
      </c>
      <c r="R235" s="30" t="n"/>
      <c r="S235" s="31" t="n"/>
      <c r="T235" s="29" t="n"/>
    </row>
    <row r="236" ht="34" customHeight="1">
      <c r="A236" s="27" t="inlineStr">
        <is>
          <t>TC-SES-033</t>
        </is>
      </c>
      <c r="B236" s="4" t="inlineStr">
        <is>
          <t>Session &amp; access control</t>
        </is>
      </c>
      <c r="C236" s="4" t="inlineStr">
        <is>
          <t>/dashboard routes every role to its own workspace</t>
        </is>
      </c>
      <c r="D236" s="28" t="inlineStr">
        <is>
          <t>Positive</t>
        </is>
      </c>
      <c r="E236" s="28" t="inlineStr">
        <is>
          <t>High</t>
        </is>
      </c>
      <c r="F236" s="28" t="inlineStr">
        <is>
          <t>UI</t>
        </is>
      </c>
      <c r="G236" s="28" t="inlineStr">
        <is>
          <t>Manual UI</t>
        </is>
      </c>
      <c r="H236" s="28" t="inlineStr">
        <is>
          <t>Smoke</t>
        </is>
      </c>
      <c r="I236" s="4" t="inlineStr">
        <is>
          <t>App running and reachable; tester is signed out.</t>
        </is>
      </c>
      <c r="J236" s="4" t="inlineStr">
        <is>
          <t>1. Sign in as each of applicant, staff, supervisor, cashier, admin, system admin and open /dashboard.</t>
        </is>
      </c>
      <c r="K236" s="4" t="inlineStr">
        <is>
          <t>[ACC-01],[ACC-05..09]</t>
        </is>
      </c>
      <c r="L236" s="4" t="inlineStr">
        <is>
          <t>[Note F-22] Applicant stays on /dashboard; staff roles → /staff-dashboard; admin → /admin; system admin → /system-admin/health.</t>
        </is>
      </c>
      <c r="M236" s="4" t="inlineStr">
        <is>
          <t>SES-15, LGN-19</t>
        </is>
      </c>
      <c r="N236" s="4" t="inlineStr">
        <is>
          <t>dashboard.tsx:9-20</t>
        </is>
      </c>
      <c r="O236" s="28" t="inlineStr">
        <is>
          <t>F-22</t>
        </is>
      </c>
      <c r="P236" s="29" t="n"/>
      <c r="Q236" s="30" t="inlineStr">
        <is>
          <t>Not Run</t>
        </is>
      </c>
      <c r="R236" s="30" t="n"/>
      <c r="S236" s="31" t="n"/>
      <c r="T236" s="29" t="n"/>
    </row>
    <row r="237" ht="34" customHeight="1">
      <c r="A237" s="27" t="inlineStr">
        <is>
          <t>TC-OUT-001</t>
        </is>
      </c>
      <c r="B237" s="4" t="inlineStr">
        <is>
          <t>Logout</t>
        </is>
      </c>
      <c r="C237" s="4" t="inlineStr">
        <is>
          <t>Sign out clears the session and the cached identity</t>
        </is>
      </c>
      <c r="D237" s="28" t="inlineStr">
        <is>
          <t>Positive</t>
        </is>
      </c>
      <c r="E237" s="28" t="inlineStr">
        <is>
          <t>High</t>
        </is>
      </c>
      <c r="F237" s="28" t="inlineStr">
        <is>
          <t>UI</t>
        </is>
      </c>
      <c r="G237" s="28" t="inlineStr">
        <is>
          <t>Manual UI</t>
        </is>
      </c>
      <c r="H237" s="28" t="inlineStr">
        <is>
          <t>Smoke</t>
        </is>
      </c>
      <c r="I237" s="4" t="inlineStr">
        <is>
          <t>App running and reachable; tester is signed out.</t>
        </is>
      </c>
      <c r="J237" s="4" t="inlineStr">
        <is>
          <t>1. Sign in.
2. Click Sign out.</t>
        </is>
      </c>
      <c r="K237" s="4" t="inlineStr">
        <is>
          <t>[ACC-01]</t>
        </is>
      </c>
      <c r="L237" s="4" t="inlineStr">
        <is>
          <t>Redirected to /login; auth cookies are removed; the sidebar and identity are gone.</t>
        </is>
      </c>
      <c r="M237" s="4" t="inlineStr">
        <is>
          <t>OUT-01, OUT-02</t>
        </is>
      </c>
      <c r="N237" s="4" t="inlineStr">
        <is>
          <t>routes/logout.tsx</t>
        </is>
      </c>
      <c r="O237" s="28" t="inlineStr"/>
      <c r="P237" s="29" t="n"/>
      <c r="Q237" s="30" t="inlineStr">
        <is>
          <t>Not Run</t>
        </is>
      </c>
      <c r="R237" s="30" t="n"/>
      <c r="S237" s="31" t="n"/>
      <c r="T237" s="29" t="n"/>
    </row>
    <row r="238" ht="34" customHeight="1">
      <c r="A238" s="27" t="inlineStr">
        <is>
          <t>TC-OUT-002</t>
        </is>
      </c>
      <c r="B238" s="4" t="inlineStr">
        <is>
          <t>Logout</t>
        </is>
      </c>
      <c r="C238" s="4" t="inlineStr">
        <is>
          <t>Back button after sign-out</t>
        </is>
      </c>
      <c r="D238" s="28" t="inlineStr">
        <is>
          <t>Security</t>
        </is>
      </c>
      <c r="E238" s="28" t="inlineStr">
        <is>
          <t>High</t>
        </is>
      </c>
      <c r="F238" s="28" t="inlineStr">
        <is>
          <t>UI</t>
        </is>
      </c>
      <c r="G238" s="28" t="inlineStr">
        <is>
          <t>Manual UI</t>
        </is>
      </c>
      <c r="H238" s="28" t="inlineStr">
        <is>
          <t>Core</t>
        </is>
      </c>
      <c r="I238" s="4" t="inlineStr">
        <is>
          <t>App running and reachable; tester is signed out.</t>
        </is>
      </c>
      <c r="J238" s="4" t="inlineStr">
        <is>
          <t>1. Sign out.
2. Press the browser Back button repeatedly.</t>
        </is>
      </c>
      <c r="K238" s="4" t="inlineStr">
        <is>
          <t>—</t>
        </is>
      </c>
      <c r="L238" s="4" t="inlineStr">
        <is>
          <t>Protected pages are not displayed (redirected to /login or revalidated); no previous user's data visible.</t>
        </is>
      </c>
      <c r="M238" s="4" t="inlineStr">
        <is>
          <t>OUT-03</t>
        </is>
      </c>
      <c r="N238" s="4" t="inlineStr">
        <is>
          <t>_authed/route.tsx</t>
        </is>
      </c>
      <c r="O238" s="28" t="inlineStr"/>
      <c r="P238" s="29" t="n"/>
      <c r="Q238" s="30" t="inlineStr">
        <is>
          <t>Not Run</t>
        </is>
      </c>
      <c r="R238" s="30" t="n"/>
      <c r="S238" s="31" t="n"/>
      <c r="T238" s="29" t="n"/>
    </row>
    <row r="239" ht="34" customHeight="1">
      <c r="A239" s="27" t="inlineStr">
        <is>
          <t>TC-OUT-003</t>
        </is>
      </c>
      <c r="B239" s="4" t="inlineStr">
        <is>
          <t>Logout</t>
        </is>
      </c>
      <c r="C239" s="4" t="inlineStr">
        <is>
          <t>Opening /logout while already signed out</t>
        </is>
      </c>
      <c r="D239" s="28" t="inlineStr">
        <is>
          <t>Edge</t>
        </is>
      </c>
      <c r="E239" s="28" t="inlineStr">
        <is>
          <t>Low</t>
        </is>
      </c>
      <c r="F239" s="28" t="inlineStr">
        <is>
          <t>UI</t>
        </is>
      </c>
      <c r="G239" s="28" t="inlineStr">
        <is>
          <t>Manual UI</t>
        </is>
      </c>
      <c r="H239" s="28" t="inlineStr">
        <is>
          <t>Extended</t>
        </is>
      </c>
      <c r="I239" s="4" t="inlineStr">
        <is>
          <t>App running and reachable; tester is signed out.</t>
        </is>
      </c>
      <c r="J239" s="4" t="inlineStr">
        <is>
          <t>1. Open /logout in a fresh browser.</t>
        </is>
      </c>
      <c r="K239" s="4" t="inlineStr">
        <is>
          <t>signed out</t>
        </is>
      </c>
      <c r="L239" s="4" t="inlineStr">
        <is>
          <t>Redirect to /login with no error screen.</t>
        </is>
      </c>
      <c r="M239" s="4" t="inlineStr">
        <is>
          <t>OUT-04</t>
        </is>
      </c>
      <c r="N239" s="4" t="inlineStr">
        <is>
          <t>routes/logout.tsx</t>
        </is>
      </c>
      <c r="O239" s="28" t="inlineStr"/>
      <c r="P239" s="29" t="n"/>
      <c r="Q239" s="30" t="inlineStr">
        <is>
          <t>Not Run</t>
        </is>
      </c>
      <c r="R239" s="30" t="n"/>
      <c r="S239" s="31" t="n"/>
      <c r="T239" s="29" t="n"/>
    </row>
    <row r="240" ht="34" customHeight="1">
      <c r="A240" s="27" t="inlineStr">
        <is>
          <t>TC-OUT-004</t>
        </is>
      </c>
      <c r="B240" s="4" t="inlineStr">
        <is>
          <t>Logout</t>
        </is>
      </c>
      <c r="C240" s="4" t="inlineStr">
        <is>
          <t>Supabase signOut error does not trap the user</t>
        </is>
      </c>
      <c r="D240" s="28" t="inlineStr">
        <is>
          <t>Edge</t>
        </is>
      </c>
      <c r="E240" s="28" t="inlineStr">
        <is>
          <t>Medium</t>
        </is>
      </c>
      <c r="F240" s="28" t="inlineStr">
        <is>
          <t>API</t>
        </is>
      </c>
      <c r="G240" s="28" t="inlineStr">
        <is>
          <t>Stub (temp edit)</t>
        </is>
      </c>
      <c r="H240" s="28" t="inlineStr">
        <is>
          <t>Extended</t>
        </is>
      </c>
      <c r="I240" s="4" t="inlineStr">
        <is>
          <t>App running and reachable; tester is signed out.</t>
        </is>
      </c>
      <c r="J240" s="4" t="inlineStr">
        <is>
          <t>1. Stub signOut to return an error.
2. Open /logout.</t>
        </is>
      </c>
      <c r="K240" s="4" t="inlineStr">
        <is>
          <t>stub</t>
        </is>
      </c>
      <c r="L240" s="4" t="inlineStr">
        <is>
          <t>Error is logged server-side; user is still redirected to /login.</t>
        </is>
      </c>
      <c r="M240" s="4" t="inlineStr">
        <is>
          <t>OUT-05</t>
        </is>
      </c>
      <c r="N240" s="4" t="inlineStr">
        <is>
          <t>routes/logout.tsx:9-15</t>
        </is>
      </c>
      <c r="O240" s="28" t="inlineStr"/>
      <c r="P240" s="29" t="n"/>
      <c r="Q240" s="30" t="inlineStr">
        <is>
          <t>Not Run</t>
        </is>
      </c>
      <c r="R240" s="30" t="n"/>
      <c r="S240" s="31" t="n"/>
      <c r="T240" s="29" t="n"/>
    </row>
    <row r="241" ht="64" customHeight="1">
      <c r="A241" s="27" t="inlineStr">
        <is>
          <t>TC-OUT-005</t>
        </is>
      </c>
      <c r="B241" s="4" t="inlineStr">
        <is>
          <t>Logout</t>
        </is>
      </c>
      <c r="C241" s="4" t="inlineStr">
        <is>
          <t>Access token replay after sign-out</t>
        </is>
      </c>
      <c r="D241" s="28" t="inlineStr">
        <is>
          <t>Security</t>
        </is>
      </c>
      <c r="E241" s="28" t="inlineStr">
        <is>
          <t>Medium</t>
        </is>
      </c>
      <c r="F241" s="28" t="inlineStr">
        <is>
          <t>API</t>
        </is>
      </c>
      <c r="G241" s="28" t="inlineStr">
        <is>
          <t>Exploratory</t>
        </is>
      </c>
      <c r="H241" s="28" t="inlineStr">
        <is>
          <t>Extended</t>
        </is>
      </c>
      <c r="I241" s="4" t="inlineStr">
        <is>
          <t>App running and reachable; tester is signed out.</t>
        </is>
      </c>
      <c r="J241" s="4" t="inlineStr">
        <is>
          <t>1. Copy the auth cookies.
2. Sign out.
3. Replay a protected request with the copied cookies.</t>
        </is>
      </c>
      <c r="K241" s="4" t="inlineStr">
        <is>
          <t>stale access token</t>
        </is>
      </c>
      <c r="L241" s="4" t="inlineStr">
        <is>
          <t>[Possible issue F-17 - needs a runtime check] Pass criteria: the replayed request is rejected. If it is still accepted, mark Fail, write the time window in Notes (up to the access-token lifetime) - this confirms F-17.</t>
        </is>
      </c>
      <c r="M241" s="4" t="inlineStr">
        <is>
          <t>OUT-06</t>
        </is>
      </c>
      <c r="N241" s="4" t="inlineStr">
        <is>
          <t>server/auth.ts:31-54</t>
        </is>
      </c>
      <c r="O241" s="28" t="inlineStr">
        <is>
          <t>F-17</t>
        </is>
      </c>
      <c r="P241" s="29" t="n"/>
      <c r="Q241" s="30" t="inlineStr">
        <is>
          <t>Not Run</t>
        </is>
      </c>
      <c r="R241" s="30" t="n"/>
      <c r="S241" s="31" t="n"/>
      <c r="T241" s="29" t="n"/>
    </row>
    <row r="242" ht="34" customHeight="1">
      <c r="A242" s="27" t="inlineStr">
        <is>
          <t>TC-OUT-006</t>
        </is>
      </c>
      <c r="B242" s="4" t="inlineStr">
        <is>
          <t>Logout</t>
        </is>
      </c>
      <c r="C242" s="4" t="inlineStr">
        <is>
          <t>Prefetching /logout does not sign the user out</t>
        </is>
      </c>
      <c r="D242" s="28" t="inlineStr">
        <is>
          <t>Edge</t>
        </is>
      </c>
      <c r="E242" s="28" t="inlineStr">
        <is>
          <t>Medium</t>
        </is>
      </c>
      <c r="F242" s="28" t="inlineStr">
        <is>
          <t>UI</t>
        </is>
      </c>
      <c r="G242" s="28" t="inlineStr">
        <is>
          <t>Manual UI</t>
        </is>
      </c>
      <c r="H242" s="28" t="inlineStr">
        <is>
          <t>Extended</t>
        </is>
      </c>
      <c r="I242" s="4" t="inlineStr">
        <is>
          <t>App running and reachable; tester is signed out.</t>
        </is>
      </c>
      <c r="J242" s="4" t="inlineStr">
        <is>
          <t>1. Hover a link/prefetch to /logout without clicking.</t>
        </is>
      </c>
      <c r="K242" s="4" t="inlineStr">
        <is>
          <t>—</t>
        </is>
      </c>
      <c r="L242" s="4" t="inlineStr">
        <is>
          <t>No sign-out happens (preload: false).</t>
        </is>
      </c>
      <c r="M242" s="4" t="inlineStr">
        <is>
          <t>OUT-07</t>
        </is>
      </c>
      <c r="N242" s="4" t="inlineStr">
        <is>
          <t>routes/logout.tsx:21-29</t>
        </is>
      </c>
      <c r="O242" s="28" t="inlineStr"/>
      <c r="P242" s="29" t="n"/>
      <c r="Q242" s="30" t="inlineStr">
        <is>
          <t>Not Run</t>
        </is>
      </c>
      <c r="R242" s="30" t="n"/>
      <c r="S242" s="31" t="n"/>
      <c r="T242" s="29" t="n"/>
    </row>
    <row r="243" ht="34" customHeight="1">
      <c r="A243" s="27" t="inlineStr">
        <is>
          <t>TC-OUT-007</t>
        </is>
      </c>
      <c r="B243" s="4" t="inlineStr">
        <is>
          <t>Logout</t>
        </is>
      </c>
      <c r="C243" s="4" t="inlineStr">
        <is>
          <t>Switching to another role leaves no remnants</t>
        </is>
      </c>
      <c r="D243" s="28" t="inlineStr">
        <is>
          <t>Edge</t>
        </is>
      </c>
      <c r="E243" s="28" t="inlineStr">
        <is>
          <t>Medium</t>
        </is>
      </c>
      <c r="F243" s="28" t="inlineStr">
        <is>
          <t>UI</t>
        </is>
      </c>
      <c r="G243" s="28" t="inlineStr">
        <is>
          <t>Manual UI</t>
        </is>
      </c>
      <c r="H243" s="28" t="inlineStr">
        <is>
          <t>Extended</t>
        </is>
      </c>
      <c r="I243" s="4" t="inlineStr">
        <is>
          <t>App running and reachable; tester is signed out.</t>
        </is>
      </c>
      <c r="J243" s="4" t="inlineStr">
        <is>
          <t>1. Sign in as admin, sign out, sign in as applicant.</t>
        </is>
      </c>
      <c r="K243" s="4" t="inlineStr">
        <is>
          <t>[ACC-08] then [ACC-01]</t>
        </is>
      </c>
      <c r="L243" s="4" t="inlineStr">
        <is>
          <t>Applicant sees only applicant navigation and data; no admin items in menus or cached pages.</t>
        </is>
      </c>
      <c r="M243" s="4" t="inlineStr">
        <is>
          <t>OUT-08, SES-10</t>
        </is>
      </c>
      <c r="N243" s="4" t="inlineStr">
        <is>
          <t>current-user.ts</t>
        </is>
      </c>
      <c r="O243" s="28" t="inlineStr"/>
      <c r="P243" s="29" t="n"/>
      <c r="Q243" s="30" t="inlineStr">
        <is>
          <t>Not Run</t>
        </is>
      </c>
      <c r="R243" s="30" t="n"/>
      <c r="S243" s="31" t="n"/>
      <c r="T243" s="29" t="n"/>
    </row>
    <row r="244" ht="49" customHeight="1">
      <c r="A244" s="27" t="inlineStr">
        <is>
          <t>TC-INV-001</t>
        </is>
      </c>
      <c r="B244" s="4" t="inlineStr">
        <is>
          <t>Staff invitation</t>
        </is>
      </c>
      <c r="C244" s="4" t="inlineStr">
        <is>
          <t>Valid invitation sets the password and marks acceptance</t>
        </is>
      </c>
      <c r="D244" s="28" t="inlineStr">
        <is>
          <t>Positive</t>
        </is>
      </c>
      <c r="E244" s="28" t="inlineStr">
        <is>
          <t>High</t>
        </is>
      </c>
      <c r="F244" s="28" t="inlineStr">
        <is>
          <t>UI</t>
        </is>
      </c>
      <c r="G244" s="28" t="inlineStr">
        <is>
          <t>Manual UI</t>
        </is>
      </c>
      <c r="H244" s="28" t="inlineStr">
        <is>
          <t>Smoke</t>
        </is>
      </c>
      <c r="I244" s="4" t="inlineStr">
        <is>
          <t>[ACC-12] has a pending staff invitation and is signed in via the invite link.</t>
        </is>
      </c>
      <c r="J244" s="4" t="inlineStr">
        <is>
          <t>1. Open the invite link.
2. Enter a valid password and the same confirmation.
3. Submit.</t>
        </is>
      </c>
      <c r="K244" s="4" t="inlineStr">
        <is>
          <t>NewPassw0rd1</t>
        </is>
      </c>
      <c r="L244" s="4" t="inlineStr">
        <is>
          <t>"Your staff account is ready."; password is set; user metadata invitation_accepted_at is populated; user can later sign in with email+password.</t>
        </is>
      </c>
      <c r="M244" s="4" t="inlineStr">
        <is>
          <t>INV-04, INV-01</t>
        </is>
      </c>
      <c r="N244" s="4" t="inlineStr">
        <is>
          <t>accept-invitation.*; acceptStaffInvitationFn</t>
        </is>
      </c>
      <c r="O244" s="28" t="inlineStr"/>
      <c r="P244" s="29" t="n"/>
      <c r="Q244" s="30" t="inlineStr">
        <is>
          <t>Not Run</t>
        </is>
      </c>
      <c r="R244" s="30" t="n"/>
      <c r="S244" s="31" t="n"/>
      <c r="T244" s="29" t="n"/>
    </row>
    <row r="245" ht="34" customHeight="1">
      <c r="A245" s="27" t="inlineStr">
        <is>
          <t>TC-INV-002</t>
        </is>
      </c>
      <c r="B245" s="4" t="inlineStr">
        <is>
          <t>Staff invitation</t>
        </is>
      </c>
      <c r="C245" s="4" t="inlineStr">
        <is>
          <t>Opening /accept-invitation without a session</t>
        </is>
      </c>
      <c r="D245" s="28" t="inlineStr">
        <is>
          <t>Negative</t>
        </is>
      </c>
      <c r="E245" s="28" t="inlineStr">
        <is>
          <t>High</t>
        </is>
      </c>
      <c r="F245" s="28" t="inlineStr">
        <is>
          <t>UI</t>
        </is>
      </c>
      <c r="G245" s="28" t="inlineStr">
        <is>
          <t>Manual UI</t>
        </is>
      </c>
      <c r="H245" s="28" t="inlineStr">
        <is>
          <t>Core</t>
        </is>
      </c>
      <c r="I245" s="4" t="inlineStr">
        <is>
          <t>App running and reachable; tester is signed out.</t>
        </is>
      </c>
      <c r="J245" s="4" t="inlineStr">
        <is>
          <t>1. Signed out, open /accept-invitation.</t>
        </is>
      </c>
      <c r="K245" s="4" t="inlineStr">
        <is>
          <t>signed out</t>
        </is>
      </c>
      <c r="L245" s="4" t="inlineStr">
        <is>
          <t>Redirected to /login.</t>
        </is>
      </c>
      <c r="M245" s="4" t="inlineStr">
        <is>
          <t>INV-01</t>
        </is>
      </c>
      <c r="N245" s="4" t="inlineStr">
        <is>
          <t>routes/accept-invitation.tsx</t>
        </is>
      </c>
      <c r="O245" s="28" t="inlineStr"/>
      <c r="P245" s="29" t="n"/>
      <c r="Q245" s="30" t="inlineStr">
        <is>
          <t>Not Run</t>
        </is>
      </c>
      <c r="R245" s="30" t="n"/>
      <c r="S245" s="31" t="n"/>
      <c r="T245" s="29" t="n"/>
    </row>
    <row r="246" ht="49" customHeight="1">
      <c r="A246" s="27" t="inlineStr">
        <is>
          <t>TC-INV-003</t>
        </is>
      </c>
      <c r="B246" s="4" t="inlineStr">
        <is>
          <t>Staff invitation</t>
        </is>
      </c>
      <c r="C246" s="4" t="inlineStr">
        <is>
          <t>Invitation: password of 7 characters</t>
        </is>
      </c>
      <c r="D246" s="28" t="inlineStr">
        <is>
          <t>Boundary</t>
        </is>
      </c>
      <c r="E246" s="28" t="inlineStr">
        <is>
          <t>High</t>
        </is>
      </c>
      <c r="F246" s="28" t="inlineStr">
        <is>
          <t>UI</t>
        </is>
      </c>
      <c r="G246" s="28" t="inlineStr">
        <is>
          <t>Manual UI</t>
        </is>
      </c>
      <c r="H246" s="28" t="inlineStr">
        <is>
          <t>Core</t>
        </is>
      </c>
      <c r="I246" s="4" t="inlineStr">
        <is>
          <t>[ACC-12] has a pending staff invitation and is signed in via the invite link.</t>
        </is>
      </c>
      <c r="J246" s="4" t="inlineStr">
        <is>
          <t>1. Enter a 7-char password and matching confirmation.</t>
        </is>
      </c>
      <c r="K246" s="4" t="inlineStr">
        <is>
          <t>Passw0r</t>
        </is>
      </c>
      <c r="L246" s="4" t="inlineStr">
        <is>
          <t>"Password must be at least 8 characters."</t>
        </is>
      </c>
      <c r="M246" s="4" t="inlineStr">
        <is>
          <t>INV-02</t>
        </is>
      </c>
      <c r="N246" s="4" t="inlineStr">
        <is>
          <t>accept-invitation.schema.ts:4-6</t>
        </is>
      </c>
      <c r="O246" s="28" t="inlineStr"/>
      <c r="P246" s="29" t="n"/>
      <c r="Q246" s="30" t="inlineStr">
        <is>
          <t>Not Run</t>
        </is>
      </c>
      <c r="R246" s="30" t="n"/>
      <c r="S246" s="31" t="n"/>
      <c r="T246" s="29" t="n"/>
    </row>
    <row r="247" ht="49" customHeight="1">
      <c r="A247" s="27" t="inlineStr">
        <is>
          <t>TC-INV-004</t>
        </is>
      </c>
      <c r="B247" s="4" t="inlineStr">
        <is>
          <t>Staff invitation</t>
        </is>
      </c>
      <c r="C247" s="4" t="inlineStr">
        <is>
          <t>Invitation: password of exactly 8 characters</t>
        </is>
      </c>
      <c r="D247" s="28" t="inlineStr">
        <is>
          <t>Boundary</t>
        </is>
      </c>
      <c r="E247" s="28" t="inlineStr">
        <is>
          <t>High</t>
        </is>
      </c>
      <c r="F247" s="28" t="inlineStr">
        <is>
          <t>UI</t>
        </is>
      </c>
      <c r="G247" s="28" t="inlineStr">
        <is>
          <t>Manual UI</t>
        </is>
      </c>
      <c r="H247" s="28" t="inlineStr">
        <is>
          <t>Core</t>
        </is>
      </c>
      <c r="I247" s="4" t="inlineStr">
        <is>
          <t>[ACC-12] has a pending staff invitation and is signed in via the invite link.</t>
        </is>
      </c>
      <c r="J247" s="4" t="inlineStr">
        <is>
          <t>1. Enter an 8-char password and matching confirmation.</t>
        </is>
      </c>
      <c r="K247" s="4" t="inlineStr">
        <is>
          <t>Passw0rd</t>
        </is>
      </c>
      <c r="L247" s="4" t="inlineStr">
        <is>
          <t>Accepted.</t>
        </is>
      </c>
      <c r="M247" s="4" t="inlineStr">
        <is>
          <t>INV-02, INV-04</t>
        </is>
      </c>
      <c r="N247" s="4" t="inlineStr">
        <is>
          <t>accept-invitation.schema.ts</t>
        </is>
      </c>
      <c r="O247" s="28" t="inlineStr"/>
      <c r="P247" s="29" t="n"/>
      <c r="Q247" s="30" t="inlineStr">
        <is>
          <t>Not Run</t>
        </is>
      </c>
      <c r="R247" s="30" t="n"/>
      <c r="S247" s="31" t="n"/>
      <c r="T247" s="29" t="n"/>
    </row>
    <row r="248" ht="49" customHeight="1">
      <c r="A248" s="27" t="inlineStr">
        <is>
          <t>TC-INV-005</t>
        </is>
      </c>
      <c r="B248" s="4" t="inlineStr">
        <is>
          <t>Staff invitation</t>
        </is>
      </c>
      <c r="C248" s="4" t="inlineStr">
        <is>
          <t>Confirmation empty and confirmation mismatch</t>
        </is>
      </c>
      <c r="D248" s="28" t="inlineStr">
        <is>
          <t>Negative</t>
        </is>
      </c>
      <c r="E248" s="28" t="inlineStr">
        <is>
          <t>Medium</t>
        </is>
      </c>
      <c r="F248" s="28" t="inlineStr">
        <is>
          <t>UI</t>
        </is>
      </c>
      <c r="G248" s="28" t="inlineStr">
        <is>
          <t>Manual UI</t>
        </is>
      </c>
      <c r="H248" s="28" t="inlineStr">
        <is>
          <t>Extended</t>
        </is>
      </c>
      <c r="I248" s="4" t="inlineStr">
        <is>
          <t>[ACC-12] has a pending staff invitation and is signed in via the invite link.</t>
        </is>
      </c>
      <c r="J248" s="4" t="inlineStr">
        <is>
          <t>1. Leave confirmation empty; then enter a different value.</t>
        </is>
      </c>
      <c r="K248" s="4" t="inlineStr">
        <is>
          <t>"" ; Passw0rd2</t>
        </is>
      </c>
      <c r="L248" s="4" t="inlineStr">
        <is>
          <t>"Please confirm your password." then "Passwords do not match."</t>
        </is>
      </c>
      <c r="M248" s="4" t="inlineStr">
        <is>
          <t>INV-03</t>
        </is>
      </c>
      <c r="N248" s="4" t="inlineStr">
        <is>
          <t>accept-invitation.schema.ts:9-17</t>
        </is>
      </c>
      <c r="O248" s="28" t="inlineStr"/>
      <c r="P248" s="29" t="n"/>
      <c r="Q248" s="30" t="inlineStr">
        <is>
          <t>Not Run</t>
        </is>
      </c>
      <c r="R248" s="30" t="n"/>
      <c r="S248" s="31" t="n"/>
      <c r="T248" s="29" t="n"/>
    </row>
    <row r="249" ht="49" customHeight="1">
      <c r="A249" s="27" t="inlineStr">
        <is>
          <t>TC-INV-006</t>
        </is>
      </c>
      <c r="B249" s="4" t="inlineStr">
        <is>
          <t>Staff invitation</t>
        </is>
      </c>
      <c r="C249" s="4" t="inlineStr">
        <is>
          <t>Digit rule consistency</t>
        </is>
      </c>
      <c r="D249" s="28" t="inlineStr">
        <is>
          <t>Negative</t>
        </is>
      </c>
      <c r="E249" s="28" t="inlineStr">
        <is>
          <t>Medium</t>
        </is>
      </c>
      <c r="F249" s="28" t="inlineStr">
        <is>
          <t>UI</t>
        </is>
      </c>
      <c r="G249" s="28" t="inlineStr">
        <is>
          <t>Manual UI</t>
        </is>
      </c>
      <c r="H249" s="28" t="inlineStr">
        <is>
          <t>Extended</t>
        </is>
      </c>
      <c r="I249" s="4" t="inlineStr">
        <is>
          <t>[ACC-12] has a pending staff invitation and is signed in via the invite link.</t>
        </is>
      </c>
      <c r="J249" s="4" t="inlineStr">
        <is>
          <t>1. Enter an 8-letter password.</t>
        </is>
      </c>
      <c r="K249" s="4" t="inlineStr">
        <is>
          <t>Password</t>
        </is>
      </c>
      <c r="L249" s="4" t="inlineStr">
        <is>
          <t>[Known issue F-03 - current code differs] Should follow the same rule as sign-up (needs a number). Currently accepted by form and server.</t>
        </is>
      </c>
      <c r="M249" s="4" t="inlineStr">
        <is>
          <t>INV-11</t>
        </is>
      </c>
      <c r="N249" s="4" t="inlineStr">
        <is>
          <t>accept-invitation.schema.ts:6</t>
        </is>
      </c>
      <c r="O249" s="28" t="inlineStr">
        <is>
          <t>F-03</t>
        </is>
      </c>
      <c r="P249" s="29" t="n"/>
      <c r="Q249" s="30" t="inlineStr">
        <is>
          <t>Not Run</t>
        </is>
      </c>
      <c r="R249" s="30" t="n"/>
      <c r="S249" s="31" t="n"/>
      <c r="T249" s="29" t="n"/>
    </row>
    <row r="250" ht="34" customHeight="1">
      <c r="A250" s="27" t="inlineStr">
        <is>
          <t>TC-INV-007</t>
        </is>
      </c>
      <c r="B250" s="4" t="inlineStr">
        <is>
          <t>Staff invitation</t>
        </is>
      </c>
      <c r="C250" s="4" t="inlineStr">
        <is>
          <t>Expired or invalid invitation link</t>
        </is>
      </c>
      <c r="D250" s="28" t="inlineStr">
        <is>
          <t>Negative</t>
        </is>
      </c>
      <c r="E250" s="28" t="inlineStr">
        <is>
          <t>High</t>
        </is>
      </c>
      <c r="F250" s="28" t="inlineStr">
        <is>
          <t>UI</t>
        </is>
      </c>
      <c r="G250" s="28" t="inlineStr">
        <is>
          <t>Manual UI</t>
        </is>
      </c>
      <c r="H250" s="28" t="inlineStr">
        <is>
          <t>Core</t>
        </is>
      </c>
      <c r="I250" s="4" t="inlineStr">
        <is>
          <t>App running and reachable; tester is signed out.</t>
        </is>
      </c>
      <c r="J250" s="4" t="inlineStr">
        <is>
          <t>1. Open an invite link older than its validity or with a corrupted token.</t>
        </is>
      </c>
      <c r="K250" s="4" t="inlineStr">
        <is>
          <t>expired token</t>
        </is>
      </c>
      <c r="L250" s="4" t="inlineStr">
        <is>
          <t>Redirect to /login with an invitation-invalid/expired message; no session.</t>
        </is>
      </c>
      <c r="M250" s="4" t="inlineStr">
        <is>
          <t>INV-06</t>
        </is>
      </c>
      <c r="N250" s="4" t="inlineStr">
        <is>
          <t>auth/callback.tsx:12-18,40-52</t>
        </is>
      </c>
      <c r="O250" s="28" t="inlineStr"/>
      <c r="P250" s="29" t="n"/>
      <c r="Q250" s="30" t="inlineStr">
        <is>
          <t>Not Run</t>
        </is>
      </c>
      <c r="R250" s="30" t="n"/>
      <c r="S250" s="31" t="n"/>
      <c r="T250" s="29" t="n"/>
    </row>
    <row r="251" ht="34" customHeight="1">
      <c r="A251" s="27" t="inlineStr">
        <is>
          <t>TC-INV-008</t>
        </is>
      </c>
      <c r="B251" s="4" t="inlineStr">
        <is>
          <t>Staff invitation</t>
        </is>
      </c>
      <c r="C251" s="4" t="inlineStr">
        <is>
          <t>Invitation link used a second time</t>
        </is>
      </c>
      <c r="D251" s="28" t="inlineStr">
        <is>
          <t>Edge</t>
        </is>
      </c>
      <c r="E251" s="28" t="inlineStr">
        <is>
          <t>Medium</t>
        </is>
      </c>
      <c r="F251" s="28" t="inlineStr">
        <is>
          <t>UI</t>
        </is>
      </c>
      <c r="G251" s="28" t="inlineStr">
        <is>
          <t>Manual UI</t>
        </is>
      </c>
      <c r="H251" s="28" t="inlineStr">
        <is>
          <t>Extended</t>
        </is>
      </c>
      <c r="I251" s="4" t="inlineStr">
        <is>
          <t>App running and reachable; tester is signed out.</t>
        </is>
      </c>
      <c r="J251" s="4" t="inlineStr">
        <is>
          <t>1. Accept the invitation.
2. Open the same link again.</t>
        </is>
      </c>
      <c r="K251" s="4" t="inlineStr">
        <is>
          <t>used token</t>
        </is>
      </c>
      <c r="L251" s="4" t="inlineStr">
        <is>
          <t>Rejected as invalid/expired.</t>
        </is>
      </c>
      <c r="M251" s="4" t="inlineStr">
        <is>
          <t>INV-08</t>
        </is>
      </c>
      <c r="N251" s="4" t="inlineStr">
        <is>
          <t>auth/callback.tsx</t>
        </is>
      </c>
      <c r="O251" s="28" t="inlineStr"/>
      <c r="P251" s="29" t="n"/>
      <c r="Q251" s="30" t="inlineStr">
        <is>
          <t>Not Run</t>
        </is>
      </c>
      <c r="R251" s="30" t="n"/>
      <c r="S251" s="31" t="n"/>
      <c r="T251" s="29" t="n"/>
    </row>
    <row r="252" ht="49" customHeight="1">
      <c r="A252" s="27" t="inlineStr">
        <is>
          <t>TC-INV-009</t>
        </is>
      </c>
      <c r="B252" s="4" t="inlineStr">
        <is>
          <t>Staff invitation</t>
        </is>
      </c>
      <c r="C252" s="4" t="inlineStr">
        <is>
          <t>Session lost before submitting</t>
        </is>
      </c>
      <c r="D252" s="28" t="inlineStr">
        <is>
          <t>Edge</t>
        </is>
      </c>
      <c r="E252" s="28" t="inlineStr">
        <is>
          <t>Medium</t>
        </is>
      </c>
      <c r="F252" s="28" t="inlineStr">
        <is>
          <t>API</t>
        </is>
      </c>
      <c r="G252" s="28" t="inlineStr">
        <is>
          <t>Direct API call</t>
        </is>
      </c>
      <c r="H252" s="28" t="inlineStr">
        <is>
          <t>Extended</t>
        </is>
      </c>
      <c r="I252" s="4" t="inlineStr">
        <is>
          <t>[ACC-12] has a pending staff invitation and is signed in via the invite link.</t>
        </is>
      </c>
      <c r="J252" s="4" t="inlineStr">
        <is>
          <t>1. Open the form, clear the cookies, then submit.</t>
        </is>
      </c>
      <c r="K252" s="4" t="inlineStr">
        <is>
          <t>no session</t>
        </is>
      </c>
      <c r="L252" s="4" t="inlineStr">
        <is>
          <t>"This invitation is invalid or has expired."; nothing is changed.</t>
        </is>
      </c>
      <c r="M252" s="4" t="inlineStr">
        <is>
          <t>INV-07</t>
        </is>
      </c>
      <c r="N252" s="4" t="inlineStr">
        <is>
          <t>accept-invitation.mutations.ts:11-18</t>
        </is>
      </c>
      <c r="O252" s="28" t="inlineStr"/>
      <c r="P252" s="29" t="n"/>
      <c r="Q252" s="30" t="inlineStr">
        <is>
          <t>Not Run</t>
        </is>
      </c>
      <c r="R252" s="30" t="n"/>
      <c r="S252" s="31" t="n"/>
      <c r="T252" s="29" t="n"/>
    </row>
    <row r="253" ht="34" customHeight="1">
      <c r="A253" s="27" t="inlineStr">
        <is>
          <t>TC-INV-010</t>
        </is>
      </c>
      <c r="B253" s="4" t="inlineStr">
        <is>
          <t>Staff invitation</t>
        </is>
      </c>
      <c r="C253" s="4" t="inlineStr">
        <is>
          <t>An applicant cannot use the staff invitation endpoint</t>
        </is>
      </c>
      <c r="D253" s="28" t="inlineStr">
        <is>
          <t>Security</t>
        </is>
      </c>
      <c r="E253" s="28" t="inlineStr">
        <is>
          <t>High</t>
        </is>
      </c>
      <c r="F253" s="28" t="inlineStr">
        <is>
          <t>API</t>
        </is>
      </c>
      <c r="G253" s="28" t="inlineStr">
        <is>
          <t>Direct API call</t>
        </is>
      </c>
      <c r="H253" s="28" t="inlineStr">
        <is>
          <t>Core</t>
        </is>
      </c>
      <c r="I253" s="4" t="inlineStr">
        <is>
          <t>App running and reachable; tester is signed out.</t>
        </is>
      </c>
      <c r="J253" s="4" t="inlineStr">
        <is>
          <t>1. As an applicant open /accept-invitation and submit a password.</t>
        </is>
      </c>
      <c r="K253" s="4" t="inlineStr">
        <is>
          <t>[ACC-01]</t>
        </is>
      </c>
      <c r="L253" s="4" t="inlineStr">
        <is>
          <t>"This account is not a staff invitation."; password unchanged.</t>
        </is>
      </c>
      <c r="M253" s="4" t="inlineStr">
        <is>
          <t>INV-05</t>
        </is>
      </c>
      <c r="N253" s="4" t="inlineStr">
        <is>
          <t>accept-invitation.mutations.ts:19-21</t>
        </is>
      </c>
      <c r="O253" s="28" t="inlineStr"/>
      <c r="P253" s="29" t="n"/>
      <c r="Q253" s="30" t="inlineStr">
        <is>
          <t>Not Run</t>
        </is>
      </c>
      <c r="R253" s="30" t="n"/>
      <c r="S253" s="31" t="n"/>
      <c r="T253" s="29" t="n"/>
    </row>
    <row r="254" ht="64" customHeight="1">
      <c r="A254" s="27" t="inlineStr">
        <is>
          <t>TC-INV-011</t>
        </is>
      </c>
      <c r="B254" s="4" t="inlineStr">
        <is>
          <t>Staff invitation</t>
        </is>
      </c>
      <c r="C254" s="4" t="inlineStr">
        <is>
          <t>Admin or system-admin invitation</t>
        </is>
      </c>
      <c r="D254" s="28" t="inlineStr">
        <is>
          <t>Edge</t>
        </is>
      </c>
      <c r="E254" s="28" t="inlineStr">
        <is>
          <t>Low</t>
        </is>
      </c>
      <c r="F254" s="28" t="inlineStr">
        <is>
          <t>API</t>
        </is>
      </c>
      <c r="G254" s="28" t="inlineStr">
        <is>
          <t>Direct API call</t>
        </is>
      </c>
      <c r="H254" s="28" t="inlineStr">
        <is>
          <t>Extended</t>
        </is>
      </c>
      <c r="I254" s="4" t="inlineStr">
        <is>
          <t>App running and reachable; tester is signed out.</t>
        </is>
      </c>
      <c r="J254" s="4" t="inlineStr">
        <is>
          <t>1. Invite a user with the admin role.
2. Accept the invitation.</t>
        </is>
      </c>
      <c r="K254" s="4" t="inlineStr">
        <is>
          <t>invited admin</t>
        </is>
      </c>
      <c r="L254" s="4" t="inlineStr">
        <is>
          <t>[Possible issue F-20 - needs a runtime check] Admin completes setup. Currently the guard only allows staff, supervisor and cashier, so an admin would be told it is not a staff invitation - confirm whether admins are ever invited.</t>
        </is>
      </c>
      <c r="M254" s="4" t="inlineStr">
        <is>
          <t>INV-05</t>
        </is>
      </c>
      <c r="N254" s="4" t="inlineStr">
        <is>
          <t>server/auth.ts:114-116</t>
        </is>
      </c>
      <c r="O254" s="28" t="inlineStr">
        <is>
          <t>F-20</t>
        </is>
      </c>
      <c r="P254" s="29" t="n"/>
      <c r="Q254" s="30" t="inlineStr">
        <is>
          <t>Not Run</t>
        </is>
      </c>
      <c r="R254" s="30" t="n"/>
      <c r="S254" s="31" t="n"/>
      <c r="T254" s="29" t="n"/>
    </row>
    <row r="255" ht="49" customHeight="1">
      <c r="A255" s="27" t="inlineStr">
        <is>
          <t>TC-INV-012</t>
        </is>
      </c>
      <c r="B255" s="4" t="inlineStr">
        <is>
          <t>Staff invitation</t>
        </is>
      </c>
      <c r="C255" s="4" t="inlineStr">
        <is>
          <t>Supabase rejects the update</t>
        </is>
      </c>
      <c r="D255" s="28" t="inlineStr">
        <is>
          <t>Negative</t>
        </is>
      </c>
      <c r="E255" s="28" t="inlineStr">
        <is>
          <t>Low</t>
        </is>
      </c>
      <c r="F255" s="28" t="inlineStr">
        <is>
          <t>API</t>
        </is>
      </c>
      <c r="G255" s="28" t="inlineStr">
        <is>
          <t>Stub (temp edit)</t>
        </is>
      </c>
      <c r="H255" s="28" t="inlineStr">
        <is>
          <t>Extended</t>
        </is>
      </c>
      <c r="I255" s="4" t="inlineStr">
        <is>
          <t>[ACC-12] has a pending staff invitation and is signed in via the invite link.</t>
        </is>
      </c>
      <c r="J255" s="4" t="inlineStr">
        <is>
          <t>1. Stub updateUser to fail.</t>
        </is>
      </c>
      <c r="K255" s="4" t="inlineStr">
        <is>
          <t>stub</t>
        </is>
      </c>
      <c r="L255" s="4" t="inlineStr">
        <is>
          <t>The error message is shown in the form alert; password not set.</t>
        </is>
      </c>
      <c r="M255" s="4" t="inlineStr">
        <is>
          <t>INV-09</t>
        </is>
      </c>
      <c r="N255" s="4" t="inlineStr">
        <is>
          <t>accept-invitation.mutations.ts:30-32</t>
        </is>
      </c>
      <c r="O255" s="28" t="inlineStr"/>
      <c r="P255" s="29" t="n"/>
      <c r="Q255" s="30" t="inlineStr">
        <is>
          <t>Not Run</t>
        </is>
      </c>
      <c r="R255" s="30" t="n"/>
      <c r="S255" s="31" t="n"/>
      <c r="T255" s="29" t="n"/>
    </row>
    <row r="256" ht="34" customHeight="1">
      <c r="A256" s="27" t="inlineStr">
        <is>
          <t>TC-INV-013</t>
        </is>
      </c>
      <c r="B256" s="4" t="inlineStr">
        <is>
          <t>Staff invitation</t>
        </is>
      </c>
      <c r="C256" s="4" t="inlineStr">
        <is>
          <t>Suspended invitee</t>
        </is>
      </c>
      <c r="D256" s="28" t="inlineStr">
        <is>
          <t>Security</t>
        </is>
      </c>
      <c r="E256" s="28" t="inlineStr">
        <is>
          <t>Medium</t>
        </is>
      </c>
      <c r="F256" s="28" t="inlineStr">
        <is>
          <t>API</t>
        </is>
      </c>
      <c r="G256" s="28" t="inlineStr">
        <is>
          <t>Direct API call</t>
        </is>
      </c>
      <c r="H256" s="28" t="inlineStr">
        <is>
          <t>Extended</t>
        </is>
      </c>
      <c r="I256" s="4" t="inlineStr">
        <is>
          <t>App running and reachable; tester is signed out.</t>
        </is>
      </c>
      <c r="J256" s="4" t="inlineStr">
        <is>
          <t>1. Suspend the invited user.
2. Submit the acceptance.</t>
        </is>
      </c>
      <c r="K256" s="4" t="inlineStr">
        <is>
          <t>[ACC-12] suspended</t>
        </is>
      </c>
      <c r="L256" s="4" t="inlineStr">
        <is>
          <t>Refused with the generic invalid message; nothing changes.</t>
        </is>
      </c>
      <c r="M256" s="4" t="inlineStr">
        <is>
          <t>INV-10</t>
        </is>
      </c>
      <c r="N256" s="4" t="inlineStr">
        <is>
          <t>requireActiveSession:95</t>
        </is>
      </c>
      <c r="O256" s="28" t="inlineStr"/>
      <c r="P256" s="29" t="n"/>
      <c r="Q256" s="30" t="inlineStr">
        <is>
          <t>Not Run</t>
        </is>
      </c>
      <c r="R256" s="30" t="n"/>
      <c r="S256" s="31" t="n"/>
      <c r="T256" s="29" t="n"/>
    </row>
    <row r="257" ht="64" customHeight="1">
      <c r="A257" s="27" t="inlineStr">
        <is>
          <t>TC-AUD-001</t>
        </is>
      </c>
      <c r="B257" s="4" t="inlineStr">
        <is>
          <t>Audit &amp; security events</t>
        </is>
      </c>
      <c r="C257" s="4" t="inlineStr">
        <is>
          <t>Personnel sign-in writes the correct session event</t>
        </is>
      </c>
      <c r="D257" s="28" t="inlineStr">
        <is>
          <t>Positive</t>
        </is>
      </c>
      <c r="E257" s="28" t="inlineStr">
        <is>
          <t>High</t>
        </is>
      </c>
      <c r="F257" s="28" t="inlineStr">
        <is>
          <t>DB</t>
        </is>
      </c>
      <c r="G257" s="28" t="inlineStr">
        <is>
          <t>Manual + DB</t>
        </is>
      </c>
      <c r="H257" s="28" t="inlineStr">
        <is>
          <t>Core</t>
        </is>
      </c>
      <c r="I257" s="4" t="inlineStr">
        <is>
          <t>App running and reachable; tester is signed out.</t>
        </is>
      </c>
      <c r="J257" s="4" t="inlineStr">
        <is>
          <t>1. Sign in with each personnel role.
2. Query system_security_events.</t>
        </is>
      </c>
      <c r="K257" s="4" t="inlineStr">
        <is>
          <t>[ACC-05..09]</t>
        </is>
      </c>
      <c r="L257" s="4" t="inlineStr">
        <is>
          <t>Admin/system admin → admin_session_started (risk low); staff/supervisor/cashier → staff_session_started; summary names the device/network when available and the method only for non-password sign-ins ("via invitation", "via social sign-in", ...).</t>
        </is>
      </c>
      <c r="M257" s="4" t="inlineStr">
        <is>
          <t>AUD-01, LGN-09</t>
        </is>
      </c>
      <c r="N257" s="4" t="inlineStr">
        <is>
          <t>security-center.server.ts:80-98</t>
        </is>
      </c>
      <c r="O257" s="28" t="inlineStr"/>
      <c r="P257" s="29" t="n"/>
      <c r="Q257" s="30" t="inlineStr">
        <is>
          <t>Not Run</t>
        </is>
      </c>
      <c r="R257" s="30" t="n"/>
      <c r="S257" s="31" t="n"/>
      <c r="T257" s="29" t="n"/>
    </row>
    <row r="258" ht="34" customHeight="1">
      <c r="A258" s="27" t="inlineStr">
        <is>
          <t>TC-AUD-002</t>
        </is>
      </c>
      <c r="B258" s="4" t="inlineStr">
        <is>
          <t>Audit &amp; security events</t>
        </is>
      </c>
      <c r="C258" s="4" t="inlineStr">
        <is>
          <t>Applicant sign-in writes no session event</t>
        </is>
      </c>
      <c r="D258" s="28" t="inlineStr">
        <is>
          <t>Positive</t>
        </is>
      </c>
      <c r="E258" s="28" t="inlineStr">
        <is>
          <t>Medium</t>
        </is>
      </c>
      <c r="F258" s="28" t="inlineStr">
        <is>
          <t>DB</t>
        </is>
      </c>
      <c r="G258" s="28" t="inlineStr">
        <is>
          <t>Manual + DB</t>
        </is>
      </c>
      <c r="H258" s="28" t="inlineStr">
        <is>
          <t>Extended</t>
        </is>
      </c>
      <c r="I258" s="4" t="inlineStr">
        <is>
          <t>App running and reachable; tester is signed out.</t>
        </is>
      </c>
      <c r="J258" s="4" t="inlineStr">
        <is>
          <t>1. Sign in as an applicant.
2. Query system_security_events.</t>
        </is>
      </c>
      <c r="K258" s="4" t="inlineStr">
        <is>
          <t>[ACC-01]</t>
        </is>
      </c>
      <c r="L258" s="4" t="inlineStr">
        <is>
          <t>[Note F-24] No session event (citizens are deliberately not tracked). Confirm this matches the audit-log scope in the project brief.</t>
        </is>
      </c>
      <c r="M258" s="4" t="inlineStr">
        <is>
          <t>AUD-02</t>
        </is>
      </c>
      <c r="N258" s="4" t="inlineStr">
        <is>
          <t>security-center.server.ts:77-79</t>
        </is>
      </c>
      <c r="O258" s="28" t="inlineStr">
        <is>
          <t>F-24</t>
        </is>
      </c>
      <c r="P258" s="29" t="n"/>
      <c r="Q258" s="30" t="inlineStr">
        <is>
          <t>Not Run</t>
        </is>
      </c>
      <c r="R258" s="30" t="n"/>
      <c r="S258" s="31" t="n"/>
      <c r="T258" s="29" t="n"/>
    </row>
    <row r="259" ht="49" customHeight="1">
      <c r="A259" s="27" t="inlineStr">
        <is>
          <t>TC-AUD-003</t>
        </is>
      </c>
      <c r="B259" s="4" t="inlineStr">
        <is>
          <t>Audit &amp; security events</t>
        </is>
      </c>
      <c r="C259" s="4" t="inlineStr">
        <is>
          <t>Failed sign-in is recorded without identifying data</t>
        </is>
      </c>
      <c r="D259" s="28" t="inlineStr">
        <is>
          <t>Security</t>
        </is>
      </c>
      <c r="E259" s="28" t="inlineStr">
        <is>
          <t>High</t>
        </is>
      </c>
      <c r="F259" s="28" t="inlineStr">
        <is>
          <t>DB</t>
        </is>
      </c>
      <c r="G259" s="28" t="inlineStr">
        <is>
          <t>Manual + DB</t>
        </is>
      </c>
      <c r="H259" s="28" t="inlineStr">
        <is>
          <t>Core</t>
        </is>
      </c>
      <c r="I259" s="4" t="inlineStr">
        <is>
          <t>App running and reachable; tester is signed out.</t>
        </is>
      </c>
      <c r="J259" s="4" t="inlineStr">
        <is>
          <t>1. Submit a wrong password.
2. Inspect the new event.</t>
        </is>
      </c>
      <c r="K259" s="4" t="inlineStr">
        <is>
          <t>[ACC-05] wrong password</t>
        </is>
      </c>
      <c r="L259" s="4" t="inlineStr">
        <is>
          <t>[Note F-24] Event sign_in_failed, risk medium; no IP/user agent; subject fingerprint is an HMAC (null if SECURITY_EVENT_HASH_SECRET is unset); no raw email or password anywhere.</t>
        </is>
      </c>
      <c r="M259" s="4" t="inlineStr">
        <is>
          <t>AUD-03, AUD-06</t>
        </is>
      </c>
      <c r="N259" s="4" t="inlineStr">
        <is>
          <t>security-center.server.ts:35-70</t>
        </is>
      </c>
      <c r="O259" s="28" t="inlineStr">
        <is>
          <t>F-24</t>
        </is>
      </c>
      <c r="P259" s="29" t="n"/>
      <c r="Q259" s="30" t="inlineStr">
        <is>
          <t>Not Run</t>
        </is>
      </c>
      <c r="R259" s="30" t="n"/>
      <c r="S259" s="31" t="n"/>
      <c r="T259" s="29" t="n"/>
    </row>
    <row r="260" ht="49" customHeight="1">
      <c r="A260" s="27" t="inlineStr">
        <is>
          <t>TC-AUD-004</t>
        </is>
      </c>
      <c r="B260" s="4" t="inlineStr">
        <is>
          <t>Audit &amp; security events</t>
        </is>
      </c>
      <c r="C260" s="4" t="inlineStr">
        <is>
          <t>Social, invitation and email-link sessions are recorded with their method</t>
        </is>
      </c>
      <c r="D260" s="28" t="inlineStr">
        <is>
          <t>Positive</t>
        </is>
      </c>
      <c r="E260" s="28" t="inlineStr">
        <is>
          <t>Medium</t>
        </is>
      </c>
      <c r="F260" s="28" t="inlineStr">
        <is>
          <t>DB</t>
        </is>
      </c>
      <c r="G260" s="28" t="inlineStr">
        <is>
          <t>Manual + DB</t>
        </is>
      </c>
      <c r="H260" s="28" t="inlineStr">
        <is>
          <t>Extended</t>
        </is>
      </c>
      <c r="I260" s="4" t="inlineStr">
        <is>
          <t>App running and reachable; tester is signed out.</t>
        </is>
      </c>
      <c r="J260" s="4" t="inlineStr">
        <is>
          <t>1. Sign in a staff user via invite link, recovery link and Google.
2. Query the events.</t>
        </is>
      </c>
      <c r="K260" s="4" t="inlineStr">
        <is>
          <t>[ACC-05] via 3 methods</t>
        </is>
      </c>
      <c r="L260" s="4" t="inlineStr">
        <is>
          <t>Events show method invitation, password reset and social sign-in (in the summary).</t>
        </is>
      </c>
      <c r="M260" s="4" t="inlineStr">
        <is>
          <t>AUD-04</t>
        </is>
      </c>
      <c r="N260" s="4" t="inlineStr">
        <is>
          <t>auth/callback.tsx:21-27,91-94</t>
        </is>
      </c>
      <c r="O260" s="28" t="inlineStr"/>
      <c r="P260" s="29" t="n"/>
      <c r="Q260" s="30" t="inlineStr">
        <is>
          <t>Not Run</t>
        </is>
      </c>
      <c r="R260" s="30" t="n"/>
      <c r="S260" s="31" t="n"/>
      <c r="T260" s="29" t="n"/>
    </row>
    <row r="261" ht="34" customHeight="1">
      <c r="A261" s="27" t="inlineStr">
        <is>
          <t>TC-AUD-005</t>
        </is>
      </c>
      <c r="B261" s="4" t="inlineStr">
        <is>
          <t>Audit &amp; security events</t>
        </is>
      </c>
      <c r="C261" s="4" t="inlineStr">
        <is>
          <t>Recovery verification records a session</t>
        </is>
      </c>
      <c r="D261" s="28" t="inlineStr">
        <is>
          <t>Positive</t>
        </is>
      </c>
      <c r="E261" s="28" t="inlineStr">
        <is>
          <t>Medium</t>
        </is>
      </c>
      <c r="F261" s="28" t="inlineStr">
        <is>
          <t>DB</t>
        </is>
      </c>
      <c r="G261" s="28" t="inlineStr">
        <is>
          <t>Manual + DB</t>
        </is>
      </c>
      <c r="H261" s="28" t="inlineStr">
        <is>
          <t>Extended</t>
        </is>
      </c>
      <c r="I261" s="4" t="inlineStr">
        <is>
          <t>App running and reachable; tester is signed out.</t>
        </is>
      </c>
      <c r="J261" s="4" t="inlineStr">
        <is>
          <t>1. Verify a recovery code as a staff user.
2. Query the events.</t>
        </is>
      </c>
      <c r="K261" s="4" t="inlineStr">
        <is>
          <t>[ACC-05]</t>
        </is>
      </c>
      <c r="L261" s="4" t="inlineStr">
        <is>
          <t>A staff_session_started event with method "password reset" exists.</t>
        </is>
      </c>
      <c r="M261" s="4" t="inlineStr">
        <is>
          <t>AUD-05</t>
        </is>
      </c>
      <c r="N261" s="4" t="inlineStr">
        <is>
          <t>verifyRecoveryOtpFn:519</t>
        </is>
      </c>
      <c r="O261" s="28" t="inlineStr"/>
      <c r="P261" s="29" t="n"/>
      <c r="Q261" s="30" t="inlineStr">
        <is>
          <t>Not Run</t>
        </is>
      </c>
      <c r="R261" s="30" t="n"/>
      <c r="S261" s="31" t="n"/>
      <c r="T261" s="29" t="n"/>
    </row>
    <row r="262" ht="49" customHeight="1">
      <c r="A262" s="27" t="inlineStr">
        <is>
          <t>TC-AUD-006</t>
        </is>
      </c>
      <c r="B262" s="4" t="inlineStr">
        <is>
          <t>Audit &amp; security events</t>
        </is>
      </c>
      <c r="C262" s="4" t="inlineStr">
        <is>
          <t>No secrets or OTPs in events or logs</t>
        </is>
      </c>
      <c r="D262" s="28" t="inlineStr">
        <is>
          <t>Security</t>
        </is>
      </c>
      <c r="E262" s="28" t="inlineStr">
        <is>
          <t>High</t>
        </is>
      </c>
      <c r="F262" s="28" t="inlineStr">
        <is>
          <t>DB</t>
        </is>
      </c>
      <c r="G262" s="28" t="inlineStr">
        <is>
          <t>Manual + DB</t>
        </is>
      </c>
      <c r="H262" s="28" t="inlineStr">
        <is>
          <t>Core</t>
        </is>
      </c>
      <c r="I262" s="4" t="inlineStr">
        <is>
          <t>App running and reachable; tester is signed out.</t>
        </is>
      </c>
      <c r="J262" s="4" t="inlineStr">
        <is>
          <t>1. Perform failed and successful flows.
2. Search system_security_events, console and server logs for the password, OTP and tokens.</t>
        </is>
      </c>
      <c r="K262" s="4" t="inlineStr">
        <is>
          <t>all flows</t>
        </is>
      </c>
      <c r="L262" s="4" t="inlineStr">
        <is>
          <t>None of those values appears; only hashes and metadata.</t>
        </is>
      </c>
      <c r="M262" s="4" t="inlineStr">
        <is>
          <t>AUD-06, OTP-12</t>
        </is>
      </c>
      <c r="N262" s="4" t="inlineStr">
        <is>
          <t>security-center.server.ts; otp-codes.server.ts</t>
        </is>
      </c>
      <c r="O262" s="28" t="inlineStr"/>
      <c r="P262" s="29" t="n"/>
      <c r="Q262" s="30" t="inlineStr">
        <is>
          <t>Not Run</t>
        </is>
      </c>
      <c r="R262" s="30" t="n"/>
      <c r="S262" s="31" t="n"/>
      <c r="T262" s="29" t="n"/>
    </row>
    <row r="263" ht="49" customHeight="1">
      <c r="A263" s="27" t="inlineStr">
        <is>
          <t>TC-AUD-007</t>
        </is>
      </c>
      <c r="B263" s="4" t="inlineStr">
        <is>
          <t>Audit &amp; security events</t>
        </is>
      </c>
      <c r="C263" s="4" t="inlineStr">
        <is>
          <t>Inactive account's sessions are not recorded</t>
        </is>
      </c>
      <c r="D263" s="28" t="inlineStr">
        <is>
          <t>Edge</t>
        </is>
      </c>
      <c r="E263" s="28" t="inlineStr">
        <is>
          <t>Low</t>
        </is>
      </c>
      <c r="F263" s="28" t="inlineStr">
        <is>
          <t>DB</t>
        </is>
      </c>
      <c r="G263" s="28" t="inlineStr">
        <is>
          <t>Manual + DB</t>
        </is>
      </c>
      <c r="H263" s="28" t="inlineStr">
        <is>
          <t>Extended</t>
        </is>
      </c>
      <c r="I263" s="4" t="inlineStr">
        <is>
          <t>App running and reachable; tester is signed out.</t>
        </is>
      </c>
      <c r="J263" s="4" t="inlineStr">
        <is>
          <t>1. Verify a recovery or OAuth session for a suspended staff user.
2. Query events.</t>
        </is>
      </c>
      <c r="K263" s="4" t="inlineStr">
        <is>
          <t>[ACC-03] staff-role</t>
        </is>
      </c>
      <c r="L263" s="4" t="inlineStr">
        <is>
          <t>No session event is written for inactive accounts.</t>
        </is>
      </c>
      <c r="M263" s="4" t="inlineStr">
        <is>
          <t>AUD-04</t>
        </is>
      </c>
      <c r="N263" s="4" t="inlineStr">
        <is>
          <t>security-center.server.ts:119-123</t>
        </is>
      </c>
      <c r="O263" s="28" t="inlineStr"/>
      <c r="P263" s="29" t="n"/>
      <c r="Q263" s="30" t="inlineStr">
        <is>
          <t>Not Run</t>
        </is>
      </c>
      <c r="R263" s="30" t="n"/>
      <c r="S263" s="31" t="n"/>
      <c r="T263" s="29" t="n"/>
    </row>
  </sheetData>
  <autoFilter ref="A4:T263"/>
  <mergeCells count="1">
    <mergeCell ref="A2:N2"/>
  </mergeCells>
  <conditionalFormatting sqref="Q5:Q1000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"Skipped"</formula>
    </cfRule>
  </conditionalFormatting>
  <conditionalFormatting sqref="E5:E1000">
    <cfRule type="cellIs" priority="5" operator="equal" dxfId="4">
      <formula>"High"</formula>
    </cfRule>
  </conditionalFormatting>
  <conditionalFormatting sqref="D5:D1000">
    <cfRule type="cellIs" priority="6" operator="equal" dxfId="5">
      <formula>"Security"</formula>
    </cfRule>
  </conditionalFormatting>
  <conditionalFormatting sqref="O5:O1000">
    <cfRule type="expression" priority="7" dxfId="6">
      <formula>LEN(O5)&gt;0</formula>
    </cfRule>
  </conditionalFormatting>
  <conditionalFormatting sqref="L5:L1000">
    <cfRule type="expression" priority="8" dxfId="6">
      <formula>LEN($O5)&gt;0</formula>
    </cfRule>
  </conditionalFormatting>
  <conditionalFormatting sqref="G5:G1000">
    <cfRule type="cellIs" priority="9" operator="equal" dxfId="7">
      <formula>"Exploratory"</formula>
    </cfRule>
  </conditionalFormatting>
  <dataValidations count="7">
    <dataValidation sqref="Q5:Q1000" showDropDown="0" showInputMessage="0" showErrorMessage="1" allowBlank="0" errorTitle="Invalid status" error="Choose Not Run, Pass, Fail, Blocked or Skipped." type="list">
      <formula1>"Not Run,Pass,Fail,Blocked,Skipped"</formula1>
    </dataValidation>
    <dataValidation sqref="D5:D1000" showDropDown="0" showInputMessage="0" showErrorMessage="0" allowBlank="0" type="list">
      <formula1>"Positive,Negative,Boundary,Edge,Security"</formula1>
    </dataValidation>
    <dataValidation sqref="E5:E1000" showDropDown="0" showInputMessage="0" showErrorMessage="0" allowBlank="0" type="list">
      <formula1>"High,Medium,Low"</formula1>
    </dataValidation>
    <dataValidation sqref="F5:F1000" showDropDown="0" showInputMessage="0" showErrorMessage="0" allowBlank="0" type="list">
      <formula1>"UI,API,Unit,DB,Config"</formula1>
    </dataValidation>
    <dataValidation sqref="G5:G1000" showDropDown="0" showInputMessage="0" showErrorMessage="0" allowBlank="0" type="list">
      <formula1>"Manual UI,Manual + DB,Direct API call,Stub (temp edit),Unit (needs runner),Config check,Exploratory"</formula1>
    </dataValidation>
    <dataValidation sqref="H5:H1000" showDropDown="0" showInputMessage="0" showErrorMessage="0" allowBlank="0" type="list">
      <formula1>"Smoke,Core,Extended"</formula1>
    </dataValidation>
    <dataValidation sqref="S5:S1000" showDropDown="0" showInputMessage="0" showErrorMessage="1" allowBlank="1" errorTitle="Invalid date" error="Enter a date such as 2026-10-09." type="date" operator="greaterThan">
      <formula1>43831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178"/>
  <sheetViews>
    <sheetView zoomScale="9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62" customWidth="1" min="3" max="3"/>
    <col width="38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25" t="inlineStr">
        <is>
          <t>Coverage Matrix - requirement / branch traceability</t>
        </is>
      </c>
    </row>
    <row r="2" ht="30" customHeight="1">
      <c r="A2" s="26" t="inlineStr">
        <is>
          <t>Each row is a validation rule, branch or requirement identified in the authentication code. A test case 'covers' an item when its ID appears in the test case's 'Covers' column. Counts are live formulas; column H is a generated snapshot of the mapping.</t>
        </is>
      </c>
    </row>
    <row r="3">
      <c r="A3" s="32" t="inlineStr">
        <is>
          <t>Coverage items identified</t>
        </is>
      </c>
      <c r="E3" s="33">
        <f>COUNTA(A10:A1000)</f>
        <v/>
      </c>
    </row>
    <row r="4">
      <c r="A4" s="32" t="inlineStr">
        <is>
          <t>Items with at least one test case</t>
        </is>
      </c>
      <c r="E4" s="33">
        <f>COUNTIF(G10:G1000,"Covered")</f>
        <v/>
      </c>
    </row>
    <row r="5">
      <c r="A5" s="32" t="inlineStr">
        <is>
          <t>Requirement / branch coverage</t>
        </is>
      </c>
      <c r="E5" s="34">
        <f>IF(E3=0,0,E4/E3)</f>
        <v/>
      </c>
    </row>
    <row r="6">
      <c r="A6" s="32" t="inlineStr">
        <is>
          <t>Items with 2+ test cases (depth)</t>
        </is>
      </c>
      <c r="E6" s="33">
        <f>COUNTIF(E10:E1000,"&gt;=2")</f>
        <v/>
      </c>
    </row>
    <row r="7">
      <c r="A7" s="32" t="inlineStr">
        <is>
          <t>Items verified (at least one Pass)</t>
        </is>
      </c>
      <c r="E7" s="33">
        <f>COUNTIF(F10:F1000,"&gt;0")</f>
        <v/>
      </c>
    </row>
    <row r="8">
      <c r="A8" s="32" t="inlineStr">
        <is>
          <t>Verified coverage (executed)</t>
        </is>
      </c>
      <c r="E8" s="34">
        <f>IF(E3=0,0,E7/E3)</f>
        <v/>
      </c>
    </row>
    <row r="9" ht="32" customHeight="1">
      <c r="A9" s="16" t="inlineStr">
        <is>
          <t>Item ID</t>
        </is>
      </c>
      <c r="B9" s="16" t="inlineStr">
        <is>
          <t>Module</t>
        </is>
      </c>
      <c r="C9" s="16" t="inlineStr">
        <is>
          <t>Coverage item (rule / branch / requirement)</t>
        </is>
      </c>
      <c r="D9" s="16" t="inlineStr">
        <is>
          <t>Source</t>
        </is>
      </c>
      <c r="E9" s="16" t="inlineStr">
        <is>
          <t># Test cases</t>
        </is>
      </c>
      <c r="F9" s="16" t="inlineStr">
        <is>
          <t># Passed</t>
        </is>
      </c>
      <c r="G9" s="16" t="inlineStr">
        <is>
          <t>Coverage</t>
        </is>
      </c>
      <c r="H9" s="16" t="inlineStr">
        <is>
          <t>Mapped test cases (generated snapshot)</t>
        </is>
      </c>
    </row>
    <row r="10" ht="20" customHeight="1">
      <c r="A10" s="27" t="inlineStr">
        <is>
          <t>LGN-01</t>
        </is>
      </c>
      <c r="B10" s="4" t="inlineStr">
        <is>
          <t>Login</t>
        </is>
      </c>
      <c r="C10" s="4" t="inlineStr">
        <is>
          <t>Email format validation (zod email)</t>
        </is>
      </c>
      <c r="D10" s="4" t="inlineStr">
        <is>
          <t>LoginForm.tsx:43</t>
        </is>
      </c>
      <c r="E10" s="28">
        <f>COUNTIF('Test Cases'!$M$5:$M$1000,"*"&amp;A10&amp;"*")</f>
        <v/>
      </c>
      <c r="F10" s="28">
        <f>COUNTIFS('Test Cases'!$M$5:$M$1000,"*"&amp;A10&amp;"*",'Test Cases'!$Q$5:$Q$1000,"Pass")</f>
        <v/>
      </c>
      <c r="G10" s="28">
        <f>IF(E10&gt;0,"Covered","GAP")</f>
        <v/>
      </c>
      <c r="H10" s="4" t="inlineStr">
        <is>
          <t>LGN-012, LGN-013, LGN-024, LGN-042</t>
        </is>
      </c>
    </row>
    <row r="11" ht="20" customHeight="1">
      <c r="A11" s="27" t="inlineStr">
        <is>
          <t>LGN-02</t>
        </is>
      </c>
      <c r="B11" s="4" t="inlineStr">
        <is>
          <t>Login</t>
        </is>
      </c>
      <c r="C11" s="4" t="inlineStr">
        <is>
          <t>Password minimum length 8 and its message</t>
        </is>
      </c>
      <c r="D11" s="4" t="inlineStr">
        <is>
          <t>LoginForm.tsx:44</t>
        </is>
      </c>
      <c r="E11" s="28">
        <f>COUNTIF('Test Cases'!$M$5:$M$1000,"*"&amp;A11&amp;"*")</f>
        <v/>
      </c>
      <c r="F11" s="28">
        <f>COUNTIFS('Test Cases'!$M$5:$M$1000,"*"&amp;A11&amp;"*",'Test Cases'!$Q$5:$Q$1000,"Pass")</f>
        <v/>
      </c>
      <c r="G11" s="28">
        <f>IF(E11&gt;0,"Covered","GAP")</f>
        <v/>
      </c>
      <c r="H11" s="4" t="inlineStr">
        <is>
          <t>LGN-012, LGN-014, LGN-015, LGN-016, LGN-036, LGN-039</t>
        </is>
      </c>
    </row>
    <row r="12" ht="34" customHeight="1">
      <c r="A12" s="27" t="inlineStr">
        <is>
          <t>LGN-03</t>
        </is>
      </c>
      <c r="B12" s="4" t="inlineStr">
        <is>
          <t>Login</t>
        </is>
      </c>
      <c r="C12" s="4" t="inlineStr">
        <is>
          <t>Successful password sign-in sets session and redirects to /dashboard</t>
        </is>
      </c>
      <c r="D12" s="4" t="inlineStr">
        <is>
          <t>loginWithEmailFn; useLogin.ts</t>
        </is>
      </c>
      <c r="E12" s="28">
        <f>COUNTIF('Test Cases'!$M$5:$M$1000,"*"&amp;A12&amp;"*")</f>
        <v/>
      </c>
      <c r="F12" s="28">
        <f>COUNTIFS('Test Cases'!$M$5:$M$1000,"*"&amp;A12&amp;"*",'Test Cases'!$Q$5:$Q$1000,"Pass")</f>
        <v/>
      </c>
      <c r="G12" s="28">
        <f>IF(E12&gt;0,"Covered","GAP")</f>
        <v/>
      </c>
      <c r="H12" s="4" t="inlineStr">
        <is>
          <t>LGN-001, LGN-002, LGN-007, LGN-009, LGN-015, LGN-039, LGN-040, REG-021</t>
        </is>
      </c>
    </row>
    <row r="13" ht="34" customHeight="1">
      <c r="A13" s="27" t="inlineStr">
        <is>
          <t>LGN-04</t>
        </is>
      </c>
      <c r="B13" s="4" t="inlineStr">
        <is>
          <t>Login</t>
        </is>
      </c>
      <c r="C13" s="4" t="inlineStr">
        <is>
          <t>Post-login ?redirect handling (valid, external, malformed, unknown, forbidden)</t>
        </is>
      </c>
      <c r="D13" s="4" t="inlineStr">
        <is>
          <t>login.tsx; useLogin.ts:13</t>
        </is>
      </c>
      <c r="E13" s="28">
        <f>COUNTIF('Test Cases'!$M$5:$M$1000,"*"&amp;A13&amp;"*")</f>
        <v/>
      </c>
      <c r="F13" s="28">
        <f>COUNTIFS('Test Cases'!$M$5:$M$1000,"*"&amp;A13&amp;"*",'Test Cases'!$Q$5:$Q$1000,"Pass")</f>
        <v/>
      </c>
      <c r="G13" s="28">
        <f>IF(E13&gt;0,"Covered","GAP")</f>
        <v/>
      </c>
      <c r="H13" s="4" t="inlineStr">
        <is>
          <t>LGN-006, LGN-027, LGN-028, LGN-029, LGN-030, SES-002</t>
        </is>
      </c>
    </row>
    <row r="14" ht="20" customHeight="1">
      <c r="A14" s="27" t="inlineStr">
        <is>
          <t>LGN-05</t>
        </is>
      </c>
      <c r="B14" s="4" t="inlineStr">
        <is>
          <t>Login</t>
        </is>
      </c>
      <c r="C14" s="4" t="inlineStr">
        <is>
          <t>Invalid-credentials mapping (inline alert + toast), no enumeration</t>
        </is>
      </c>
      <c r="D14" s="4" t="inlineStr">
        <is>
          <t>LoginForm describeSignInError; useLogin.ts</t>
        </is>
      </c>
      <c r="E14" s="28">
        <f>COUNTIF('Test Cases'!$M$5:$M$1000,"*"&amp;A14&amp;"*")</f>
        <v/>
      </c>
      <c r="F14" s="28">
        <f>COUNTIFS('Test Cases'!$M$5:$M$1000,"*"&amp;A14&amp;"*",'Test Cases'!$Q$5:$Q$1000,"Pass")</f>
        <v/>
      </c>
      <c r="G14" s="28">
        <f>IF(E14&gt;0,"Covered","GAP")</f>
        <v/>
      </c>
      <c r="H14" s="4" t="inlineStr">
        <is>
          <t>LGN-017, LGN-018, LGN-020, LGN-021, LGN-024, LGN-040</t>
        </is>
      </c>
    </row>
    <row r="15" ht="20" customHeight="1">
      <c r="A15" s="27" t="inlineStr">
        <is>
          <t>LGN-06</t>
        </is>
      </c>
      <c r="B15" s="4" t="inlineStr">
        <is>
          <t>Login</t>
        </is>
      </c>
      <c r="C15" s="4" t="inlineStr">
        <is>
          <t>Unconfirmed-email branch opens verify dialog and auto-resends code</t>
        </is>
      </c>
      <c r="D15" s="4" t="inlineStr">
        <is>
          <t>LoginForm.tsx:113-119</t>
        </is>
      </c>
      <c r="E15" s="28">
        <f>COUNTIF('Test Cases'!$M$5:$M$1000,"*"&amp;A15&amp;"*")</f>
        <v/>
      </c>
      <c r="F15" s="28">
        <f>COUNTIFS('Test Cases'!$M$5:$M$1000,"*"&amp;A15&amp;"*",'Test Cases'!$Q$5:$Q$1000,"Pass")</f>
        <v/>
      </c>
      <c r="G15" s="28">
        <f>IF(E15&gt;0,"Covered","GAP")</f>
        <v/>
      </c>
      <c r="H15" s="4" t="inlineStr">
        <is>
          <t>LGN-019, LGN-020, REG-041, OTP-035</t>
        </is>
      </c>
    </row>
    <row r="16" ht="20" customHeight="1">
      <c r="A16" s="27" t="inlineStr">
        <is>
          <t>LGN-07</t>
        </is>
      </c>
      <c r="B16" s="4" t="inlineStr">
        <is>
          <t>Login</t>
        </is>
      </c>
      <c r="C16" s="4" t="inlineStr">
        <is>
          <t>Inactive (suspended/deactivated) account rejected and signed out</t>
        </is>
      </c>
      <c r="D16" s="4" t="inlineStr">
        <is>
          <t>loginWithEmailFn:126-129</t>
        </is>
      </c>
      <c r="E16" s="28">
        <f>COUNTIF('Test Cases'!$M$5:$M$1000,"*"&amp;A16&amp;"*")</f>
        <v/>
      </c>
      <c r="F16" s="28">
        <f>COUNTIFS('Test Cases'!$M$5:$M$1000,"*"&amp;A16&amp;"*",'Test Cases'!$Q$5:$Q$1000,"Pass")</f>
        <v/>
      </c>
      <c r="G16" s="28">
        <f>IF(E16&gt;0,"Covered","GAP")</f>
        <v/>
      </c>
      <c r="H16" s="4" t="inlineStr">
        <is>
          <t>LGN-021, LGN-022</t>
        </is>
      </c>
    </row>
    <row r="17" ht="20" customHeight="1">
      <c r="A17" s="27" t="inlineStr">
        <is>
          <t>LGN-08</t>
        </is>
      </c>
      <c r="B17" s="4" t="inlineStr">
        <is>
          <t>Login</t>
        </is>
      </c>
      <c r="C17" s="4" t="inlineStr">
        <is>
          <t>sign_in_failed security event recorded</t>
        </is>
      </c>
      <c r="D17" s="4" t="inlineStr">
        <is>
          <t>loginWithEmailFn:107</t>
        </is>
      </c>
      <c r="E17" s="28">
        <f>COUNTIF('Test Cases'!$M$5:$M$1000,"*"&amp;A17&amp;"*")</f>
        <v/>
      </c>
      <c r="F17" s="28">
        <f>COUNTIFS('Test Cases'!$M$5:$M$1000,"*"&amp;A17&amp;"*",'Test Cases'!$Q$5:$Q$1000,"Pass")</f>
        <v/>
      </c>
      <c r="G17" s="28">
        <f>IF(E17&gt;0,"Covered","GAP")</f>
        <v/>
      </c>
      <c r="H17" s="4" t="inlineStr">
        <is>
          <t>LGN-017, LGN-038, LGN-043</t>
        </is>
      </c>
    </row>
    <row r="18" ht="20" customHeight="1">
      <c r="A18" s="27" t="inlineStr">
        <is>
          <t>LGN-09</t>
        </is>
      </c>
      <c r="B18" s="4" t="inlineStr">
        <is>
          <t>Login</t>
        </is>
      </c>
      <c r="C18" s="4" t="inlineStr">
        <is>
          <t>Personnel session-start event written on success</t>
        </is>
      </c>
      <c r="D18" s="4" t="inlineStr">
        <is>
          <t>loginWithEmailFn:130-136</t>
        </is>
      </c>
      <c r="E18" s="28">
        <f>COUNTIF('Test Cases'!$M$5:$M$1000,"*"&amp;A18&amp;"*")</f>
        <v/>
      </c>
      <c r="F18" s="28">
        <f>COUNTIFS('Test Cases'!$M$5:$M$1000,"*"&amp;A18&amp;"*",'Test Cases'!$Q$5:$Q$1000,"Pass")</f>
        <v/>
      </c>
      <c r="G18" s="28">
        <f>IF(E18&gt;0,"Covered","GAP")</f>
        <v/>
      </c>
      <c r="H18" s="4" t="inlineStr">
        <is>
          <t>LGN-002, LGN-003, LGN-004, LGN-005, LGN-041, AUD-001</t>
        </is>
      </c>
    </row>
    <row r="19" ht="34" customHeight="1">
      <c r="A19" s="27" t="inlineStr">
        <is>
          <t>LGN-10</t>
        </is>
      </c>
      <c r="B19" s="4" t="inlineStr">
        <is>
          <t>Login</t>
        </is>
      </c>
      <c r="C19" s="4" t="inlineStr">
        <is>
          <t>Network failure and empty-error fallbacks</t>
        </is>
      </c>
      <c r="D19" s="4" t="inlineStr">
        <is>
          <t>LoginForm.tsx:53-58; loginWithEmailFn:111-118</t>
        </is>
      </c>
      <c r="E19" s="28">
        <f>COUNTIF('Test Cases'!$M$5:$M$1000,"*"&amp;A19&amp;"*")</f>
        <v/>
      </c>
      <c r="F19" s="28">
        <f>COUNTIFS('Test Cases'!$M$5:$M$1000,"*"&amp;A19&amp;"*",'Test Cases'!$Q$5:$Q$1000,"Pass")</f>
        <v/>
      </c>
      <c r="G19" s="28">
        <f>IF(E19&gt;0,"Covered","GAP")</f>
        <v/>
      </c>
      <c r="H19" s="4" t="inlineStr">
        <is>
          <t>LGN-032, LGN-033</t>
        </is>
      </c>
    </row>
    <row r="20" ht="20" customHeight="1">
      <c r="A20" s="27" t="inlineStr">
        <is>
          <t>LGN-11</t>
        </is>
      </c>
      <c r="B20" s="4" t="inlineStr">
        <is>
          <t>Login</t>
        </is>
      </c>
      <c r="C20" s="4" t="inlineStr">
        <is>
          <t>Pending state and double-submit protection</t>
        </is>
      </c>
      <c r="D20" s="4" t="inlineStr">
        <is>
          <t>LoginForm.tsx:272-285</t>
        </is>
      </c>
      <c r="E20" s="28">
        <f>COUNTIF('Test Cases'!$M$5:$M$1000,"*"&amp;A20&amp;"*")</f>
        <v/>
      </c>
      <c r="F20" s="28">
        <f>COUNTIFS('Test Cases'!$M$5:$M$1000,"*"&amp;A20&amp;"*",'Test Cases'!$Q$5:$Q$1000,"Pass")</f>
        <v/>
      </c>
      <c r="G20" s="28">
        <f>IF(E20&gt;0,"Covered","GAP")</f>
        <v/>
      </c>
      <c r="H20" s="4" t="inlineStr">
        <is>
          <t>LGN-031</t>
        </is>
      </c>
    </row>
    <row r="21" ht="20" customHeight="1">
      <c r="A21" s="27" t="inlineStr">
        <is>
          <t>LGN-12</t>
        </is>
      </c>
      <c r="B21" s="4" t="inlineStr">
        <is>
          <t>Login</t>
        </is>
      </c>
      <c r="C21" s="4" t="inlineStr">
        <is>
          <t>Password visibility toggle / accessibility</t>
        </is>
      </c>
      <c r="D21" s="4" t="inlineStr">
        <is>
          <t>PasswordToggle.tsx</t>
        </is>
      </c>
      <c r="E21" s="28">
        <f>COUNTIF('Test Cases'!$M$5:$M$1000,"*"&amp;A21&amp;"*")</f>
        <v/>
      </c>
      <c r="F21" s="28">
        <f>COUNTIFS('Test Cases'!$M$5:$M$1000,"*"&amp;A21&amp;"*",'Test Cases'!$Q$5:$Q$1000,"Pass")</f>
        <v/>
      </c>
      <c r="G21" s="28">
        <f>IF(E21&gt;0,"Covered","GAP")</f>
        <v/>
      </c>
      <c r="H21" s="4" t="inlineStr">
        <is>
          <t>LGN-010, LGN-042</t>
        </is>
      </c>
    </row>
    <row r="22" ht="20" customHeight="1">
      <c r="A22" s="27" t="inlineStr">
        <is>
          <t>LGN-13</t>
        </is>
      </c>
      <c r="B22" s="4" t="inlineStr">
        <is>
          <t>Login</t>
        </is>
      </c>
      <c r="C22" s="4" t="inlineStr">
        <is>
          <t>"Keep me signed in" option</t>
        </is>
      </c>
      <c r="D22" s="4" t="inlineStr">
        <is>
          <t>LoginForm.tsx:90,253</t>
        </is>
      </c>
      <c r="E22" s="28">
        <f>COUNTIF('Test Cases'!$M$5:$M$1000,"*"&amp;A22&amp;"*")</f>
        <v/>
      </c>
      <c r="F22" s="28">
        <f>COUNTIFS('Test Cases'!$M$5:$M$1000,"*"&amp;A22&amp;"*",'Test Cases'!$Q$5:$Q$1000,"Pass")</f>
        <v/>
      </c>
      <c r="G22" s="28">
        <f>IF(E22&gt;0,"Covered","GAP")</f>
        <v/>
      </c>
      <c r="H22" s="4" t="inlineStr">
        <is>
          <t>LGN-034</t>
        </is>
      </c>
    </row>
    <row r="23" ht="20" customHeight="1">
      <c r="A23" s="27" t="inlineStr">
        <is>
          <t>LGN-14</t>
        </is>
      </c>
      <c r="B23" s="4" t="inlineStr">
        <is>
          <t>Login</t>
        </is>
      </c>
      <c r="C23" s="4" t="inlineStr">
        <is>
          <t>Forgot-password and sign-up links</t>
        </is>
      </c>
      <c r="D23" s="4" t="inlineStr">
        <is>
          <t>LoginForm.tsx:263,304</t>
        </is>
      </c>
      <c r="E23" s="28">
        <f>COUNTIF('Test Cases'!$M$5:$M$1000,"*"&amp;A23&amp;"*")</f>
        <v/>
      </c>
      <c r="F23" s="28">
        <f>COUNTIFS('Test Cases'!$M$5:$M$1000,"*"&amp;A23&amp;"*",'Test Cases'!$Q$5:$Q$1000,"Pass")</f>
        <v/>
      </c>
      <c r="G23" s="28">
        <f>IF(E23&gt;0,"Covered","GAP")</f>
        <v/>
      </c>
      <c r="H23" s="4" t="inlineStr">
        <is>
          <t>LGN-011</t>
        </is>
      </c>
    </row>
    <row r="24" ht="34" customHeight="1">
      <c r="A24" s="27" t="inlineStr">
        <is>
          <t>LGN-15</t>
        </is>
      </c>
      <c r="B24" s="4" t="inlineStr">
        <is>
          <t>Login</t>
        </is>
      </c>
      <c r="C24" s="4" t="inlineStr">
        <is>
          <t>Email normalisation: case, whitespace, plus-address, length; password characters</t>
        </is>
      </c>
      <c r="D24" s="4" t="inlineStr">
        <is>
          <t>LoginForm / Supabase</t>
        </is>
      </c>
      <c r="E24" s="28">
        <f>COUNTIF('Test Cases'!$M$5:$M$1000,"*"&amp;A24&amp;"*")</f>
        <v/>
      </c>
      <c r="F24" s="28">
        <f>COUNTIFS('Test Cases'!$M$5:$M$1000,"*"&amp;A24&amp;"*",'Test Cases'!$Q$5:$Q$1000,"Pass")</f>
        <v/>
      </c>
      <c r="G24" s="28">
        <f>IF(E24&gt;0,"Covered","GAP")</f>
        <v/>
      </c>
      <c r="H24" s="4" t="inlineStr">
        <is>
          <t>LGN-007, LGN-008, LGN-009, LGN-035, LGN-037</t>
        </is>
      </c>
    </row>
    <row r="25" ht="20" customHeight="1">
      <c r="A25" s="27" t="inlineStr">
        <is>
          <t>LGN-16</t>
        </is>
      </c>
      <c r="B25" s="4" t="inlineStr">
        <is>
          <t>Login</t>
        </is>
      </c>
      <c r="C25" s="4" t="inlineStr">
        <is>
          <t>Identity cache cleared and router invalidated on sign-in</t>
        </is>
      </c>
      <c r="D25" s="4" t="inlineStr">
        <is>
          <t>useLogin.ts:13-15</t>
        </is>
      </c>
      <c r="E25" s="28">
        <f>COUNTIF('Test Cases'!$M$5:$M$1000,"*"&amp;A25&amp;"*")</f>
        <v/>
      </c>
      <c r="F25" s="28">
        <f>COUNTIFS('Test Cases'!$M$5:$M$1000,"*"&amp;A25&amp;"*",'Test Cases'!$Q$5:$Q$1000,"Pass")</f>
        <v/>
      </c>
      <c r="G25" s="28">
        <f>IF(E25&gt;0,"Covered","GAP")</f>
        <v/>
      </c>
      <c r="H25" s="4" t="inlineStr">
        <is>
          <t>LGN-001, SES-022</t>
        </is>
      </c>
    </row>
    <row r="26" ht="20" customHeight="1">
      <c r="A26" s="27" t="inlineStr">
        <is>
          <t>LGN-17</t>
        </is>
      </c>
      <c r="B26" s="4" t="inlineStr">
        <is>
          <t>Login</t>
        </is>
      </c>
      <c r="C26" s="4" t="inlineStr">
        <is>
          <t>?error banner rendering and escaping</t>
        </is>
      </c>
      <c r="D26" s="4" t="inlineStr">
        <is>
          <t>login.tsx; LoginForm.tsx:169</t>
        </is>
      </c>
      <c r="E26" s="28">
        <f>COUNTIF('Test Cases'!$M$5:$M$1000,"*"&amp;A26&amp;"*")</f>
        <v/>
      </c>
      <c r="F26" s="28">
        <f>COUNTIFS('Test Cases'!$M$5:$M$1000,"*"&amp;A26&amp;"*",'Test Cases'!$Q$5:$Q$1000,"Pass")</f>
        <v/>
      </c>
      <c r="G26" s="28">
        <f>IF(E26&gt;0,"Covered","GAP")</f>
        <v/>
      </c>
      <c r="H26" s="4" t="inlineStr">
        <is>
          <t>LGN-025, LGN-026</t>
        </is>
      </c>
    </row>
    <row r="27" ht="20" customHeight="1">
      <c r="A27" s="27" t="inlineStr">
        <is>
          <t>LGN-18</t>
        </is>
      </c>
      <c r="B27" s="4" t="inlineStr">
        <is>
          <t>Login</t>
        </is>
      </c>
      <c r="C27" s="4" t="inlineStr">
        <is>
          <t>Auth user without a profiles row</t>
        </is>
      </c>
      <c r="D27" s="4" t="inlineStr">
        <is>
          <t>loginWithEmailFn:121-136</t>
        </is>
      </c>
      <c r="E27" s="28">
        <f>COUNTIF('Test Cases'!$M$5:$M$1000,"*"&amp;A27&amp;"*")</f>
        <v/>
      </c>
      <c r="F27" s="28">
        <f>COUNTIFS('Test Cases'!$M$5:$M$1000,"*"&amp;A27&amp;"*",'Test Cases'!$Q$5:$Q$1000,"Pass")</f>
        <v/>
      </c>
      <c r="G27" s="28">
        <f>IF(E27&gt;0,"Covered","GAP")</f>
        <v/>
      </c>
      <c r="H27" s="4" t="inlineStr">
        <is>
          <t>LGN-023</t>
        </is>
      </c>
    </row>
    <row r="28" ht="20" customHeight="1">
      <c r="A28" s="27" t="inlineStr">
        <is>
          <t>LGN-19</t>
        </is>
      </c>
      <c r="B28" s="4" t="inlineStr">
        <is>
          <t>Login</t>
        </is>
      </c>
      <c r="C28" s="4" t="inlineStr">
        <is>
          <t>Role-based landing for all six roles</t>
        </is>
      </c>
      <c r="D28" s="4" t="inlineStr">
        <is>
          <t>dashboard.tsx</t>
        </is>
      </c>
      <c r="E28" s="28">
        <f>COUNTIF('Test Cases'!$M$5:$M$1000,"*"&amp;A28&amp;"*")</f>
        <v/>
      </c>
      <c r="F28" s="28">
        <f>COUNTIFS('Test Cases'!$M$5:$M$1000,"*"&amp;A28&amp;"*",'Test Cases'!$Q$5:$Q$1000,"Pass")</f>
        <v/>
      </c>
      <c r="G28" s="28">
        <f>IF(E28&gt;0,"Covered","GAP")</f>
        <v/>
      </c>
      <c r="H28" s="4" t="inlineStr">
        <is>
          <t>LGN-001, LGN-002, LGN-003, LGN-004, LGN-005, SES-033</t>
        </is>
      </c>
    </row>
    <row r="29" ht="20" customHeight="1">
      <c r="A29" s="27" t="inlineStr">
        <is>
          <t>LGN-20</t>
        </is>
      </c>
      <c r="B29" s="4" t="inlineStr">
        <is>
          <t>Login</t>
        </is>
      </c>
      <c r="C29" s="4" t="inlineStr">
        <is>
          <t>Repeated-failure / rate-limit behaviour</t>
        </is>
      </c>
      <c r="D29" s="4" t="inlineStr">
        <is>
          <t>loginWithEmailFn (no app lockout)</t>
        </is>
      </c>
      <c r="E29" s="28">
        <f>COUNTIF('Test Cases'!$M$5:$M$1000,"*"&amp;A29&amp;"*")</f>
        <v/>
      </c>
      <c r="F29" s="28">
        <f>COUNTIFS('Test Cases'!$M$5:$M$1000,"*"&amp;A29&amp;"*",'Test Cases'!$Q$5:$Q$1000,"Pass")</f>
        <v/>
      </c>
      <c r="G29" s="28">
        <f>IF(E29&gt;0,"Covered","GAP")</f>
        <v/>
      </c>
      <c r="H29" s="4" t="inlineStr">
        <is>
          <t>LGN-038, LGN-043</t>
        </is>
      </c>
    </row>
    <row r="30" ht="20" customHeight="1">
      <c r="A30" s="27" t="inlineStr">
        <is>
          <t>REG-01</t>
        </is>
      </c>
      <c r="B30" s="4" t="inlineStr">
        <is>
          <t>Registration</t>
        </is>
      </c>
      <c r="C30" s="4" t="inlineStr">
        <is>
          <t>First name required</t>
        </is>
      </c>
      <c r="D30" s="4" t="inlineStr">
        <is>
          <t>RegisterForm.tsx:39</t>
        </is>
      </c>
      <c r="E30" s="28">
        <f>COUNTIF('Test Cases'!$M$5:$M$1000,"*"&amp;A30&amp;"*")</f>
        <v/>
      </c>
      <c r="F30" s="28">
        <f>COUNTIFS('Test Cases'!$M$5:$M$1000,"*"&amp;A30&amp;"*",'Test Cases'!$Q$5:$Q$1000,"Pass")</f>
        <v/>
      </c>
      <c r="G30" s="28">
        <f>IF(E30&gt;0,"Covered","GAP")</f>
        <v/>
      </c>
      <c r="H30" s="4" t="inlineStr">
        <is>
          <t>REG-008, REG-009, REG-010, REG-038, REG-044</t>
        </is>
      </c>
    </row>
    <row r="31" ht="20" customHeight="1">
      <c r="A31" s="27" t="inlineStr">
        <is>
          <t>REG-02</t>
        </is>
      </c>
      <c r="B31" s="4" t="inlineStr">
        <is>
          <t>Registration</t>
        </is>
      </c>
      <c r="C31" s="4" t="inlineStr">
        <is>
          <t>Last name required</t>
        </is>
      </c>
      <c r="D31" s="4" t="inlineStr">
        <is>
          <t>RegisterForm.tsx:40</t>
        </is>
      </c>
      <c r="E31" s="28">
        <f>COUNTIF('Test Cases'!$M$5:$M$1000,"*"&amp;A31&amp;"*")</f>
        <v/>
      </c>
      <c r="F31" s="28">
        <f>COUNTIFS('Test Cases'!$M$5:$M$1000,"*"&amp;A31&amp;"*",'Test Cases'!$Q$5:$Q$1000,"Pass")</f>
        <v/>
      </c>
      <c r="G31" s="28">
        <f>IF(E31&gt;0,"Covered","GAP")</f>
        <v/>
      </c>
      <c r="H31" s="4" t="inlineStr">
        <is>
          <t>REG-008, REG-009, REG-010, REG-038</t>
        </is>
      </c>
    </row>
    <row r="32" ht="20" customHeight="1">
      <c r="A32" s="27" t="inlineStr">
        <is>
          <t>REG-03</t>
        </is>
      </c>
      <c r="B32" s="4" t="inlineStr">
        <is>
          <t>Registration</t>
        </is>
      </c>
      <c r="C32" s="4" t="inlineStr">
        <is>
          <t>Middle-name declaration rule and "no middle name" checkbox</t>
        </is>
      </c>
      <c r="D32" s="4" t="inlineStr">
        <is>
          <t>RegisterForm.tsx:41-42,55-58</t>
        </is>
      </c>
      <c r="E32" s="28">
        <f>COUNTIF('Test Cases'!$M$5:$M$1000,"*"&amp;A32&amp;"*")</f>
        <v/>
      </c>
      <c r="F32" s="28">
        <f>COUNTIFS('Test Cases'!$M$5:$M$1000,"*"&amp;A32&amp;"*",'Test Cases'!$Q$5:$Q$1000,"Pass")</f>
        <v/>
      </c>
      <c r="G32" s="28">
        <f>IF(E32&gt;0,"Covered","GAP")</f>
        <v/>
      </c>
      <c r="H32" s="4" t="inlineStr">
        <is>
          <t>REG-002, REG-003, REG-004, REG-008, REG-012, REG-013</t>
        </is>
      </c>
    </row>
    <row r="33" ht="20" customHeight="1">
      <c r="A33" s="27" t="inlineStr">
        <is>
          <t>REG-04</t>
        </is>
      </c>
      <c r="B33" s="4" t="inlineStr">
        <is>
          <t>Registration</t>
        </is>
      </c>
      <c r="C33" s="4" t="inlineStr">
        <is>
          <t>Email format validation</t>
        </is>
      </c>
      <c r="D33" s="4" t="inlineStr">
        <is>
          <t>RegisterForm.tsx:43</t>
        </is>
      </c>
      <c r="E33" s="28">
        <f>COUNTIF('Test Cases'!$M$5:$M$1000,"*"&amp;A33&amp;"*")</f>
        <v/>
      </c>
      <c r="F33" s="28">
        <f>COUNTIFS('Test Cases'!$M$5:$M$1000,"*"&amp;A33&amp;"*",'Test Cases'!$Q$5:$Q$1000,"Pass")</f>
        <v/>
      </c>
      <c r="G33" s="28">
        <f>IF(E33&gt;0,"Covered","GAP")</f>
        <v/>
      </c>
      <c r="H33" s="4" t="inlineStr">
        <is>
          <t>REG-008, REG-014</t>
        </is>
      </c>
    </row>
    <row r="34" ht="34" customHeight="1">
      <c r="A34" s="27" t="inlineStr">
        <is>
          <t>REG-05</t>
        </is>
      </c>
      <c r="B34" s="4" t="inlineStr">
        <is>
          <t>Registration</t>
        </is>
      </c>
      <c r="C34" s="4" t="inlineStr">
        <is>
          <t>Password minimum length 8 (and upper-length behaviour)</t>
        </is>
      </c>
      <c r="D34" s="4" t="inlineStr">
        <is>
          <t>RegisterForm.tsx:44-46</t>
        </is>
      </c>
      <c r="E34" s="28">
        <f>COUNTIF('Test Cases'!$M$5:$M$1000,"*"&amp;A34&amp;"*")</f>
        <v/>
      </c>
      <c r="F34" s="28">
        <f>COUNTIFS('Test Cases'!$M$5:$M$1000,"*"&amp;A34&amp;"*",'Test Cases'!$Q$5:$Q$1000,"Pass")</f>
        <v/>
      </c>
      <c r="G34" s="28">
        <f>IF(E34&gt;0,"Covered","GAP")</f>
        <v/>
      </c>
      <c r="H34" s="4" t="inlineStr">
        <is>
          <t>REG-008, REG-015, REG-016, REG-018, REG-019, REG-021, REG-022, REG-023, REG-024, REG-043</t>
        </is>
      </c>
    </row>
    <row r="35" ht="20" customHeight="1">
      <c r="A35" s="27" t="inlineStr">
        <is>
          <t>REG-06</t>
        </is>
      </c>
      <c r="B35" s="4" t="inlineStr">
        <is>
          <t>Registration</t>
        </is>
      </c>
      <c r="C35" s="4" t="inlineStr">
        <is>
          <t>Password must contain a digit</t>
        </is>
      </c>
      <c r="D35" s="4" t="inlineStr">
        <is>
          <t>RegisterForm.tsx:47</t>
        </is>
      </c>
      <c r="E35" s="28">
        <f>COUNTIF('Test Cases'!$M$5:$M$1000,"*"&amp;A35&amp;"*")</f>
        <v/>
      </c>
      <c r="F35" s="28">
        <f>COUNTIFS('Test Cases'!$M$5:$M$1000,"*"&amp;A35&amp;"*",'Test Cases'!$Q$5:$Q$1000,"Pass")</f>
        <v/>
      </c>
      <c r="G35" s="28">
        <f>IF(E35&gt;0,"Covered","GAP")</f>
        <v/>
      </c>
      <c r="H35" s="4" t="inlineStr">
        <is>
          <t>REG-016, REG-017, REG-018, REG-020, REG-024</t>
        </is>
      </c>
    </row>
    <row r="36" ht="20" customHeight="1">
      <c r="A36" s="27" t="inlineStr">
        <is>
          <t>REG-07</t>
        </is>
      </c>
      <c r="B36" s="4" t="inlineStr">
        <is>
          <t>Registration</t>
        </is>
      </c>
      <c r="C36" s="4" t="inlineStr">
        <is>
          <t>Terms agreement required</t>
        </is>
      </c>
      <c r="D36" s="4" t="inlineStr">
        <is>
          <t>RegisterForm.tsx:48-50</t>
        </is>
      </c>
      <c r="E36" s="28">
        <f>COUNTIF('Test Cases'!$M$5:$M$1000,"*"&amp;A36&amp;"*")</f>
        <v/>
      </c>
      <c r="F36" s="28">
        <f>COUNTIFS('Test Cases'!$M$5:$M$1000,"*"&amp;A36&amp;"*",'Test Cases'!$Q$5:$Q$1000,"Pass")</f>
        <v/>
      </c>
      <c r="G36" s="28">
        <f>IF(E36&gt;0,"Covered","GAP")</f>
        <v/>
      </c>
      <c r="H36" s="4" t="inlineStr">
        <is>
          <t>REG-008, REG-025, REG-044</t>
        </is>
      </c>
    </row>
    <row r="37" ht="20" customHeight="1">
      <c r="A37" s="27" t="inlineStr">
        <is>
          <t>REG-08</t>
        </is>
      </c>
      <c r="B37" s="4" t="inlineStr">
        <is>
          <t>Registration</t>
        </is>
      </c>
      <c r="C37" s="4" t="inlineStr">
        <is>
          <t>Successful sign-up creates unconfirmed account and sends OTP</t>
        </is>
      </c>
      <c r="D37" s="4" t="inlineStr">
        <is>
          <t>signupFn; sendSignupOtpEmail</t>
        </is>
      </c>
      <c r="E37" s="28">
        <f>COUNTIF('Test Cases'!$M$5:$M$1000,"*"&amp;A37&amp;"*")</f>
        <v/>
      </c>
      <c r="F37" s="28">
        <f>COUNTIFS('Test Cases'!$M$5:$M$1000,"*"&amp;A37&amp;"*",'Test Cases'!$Q$5:$Q$1000,"Pass")</f>
        <v/>
      </c>
      <c r="G37" s="28">
        <f>IF(E37&gt;0,"Covered","GAP")</f>
        <v/>
      </c>
      <c r="H37" s="4" t="inlineStr">
        <is>
          <t>REG-001, REG-002, REG-007, REG-016</t>
        </is>
      </c>
    </row>
    <row r="38" ht="20" customHeight="1">
      <c r="A38" s="27" t="inlineStr">
        <is>
          <t>REG-09</t>
        </is>
      </c>
      <c r="B38" s="4" t="inlineStr">
        <is>
          <t>Registration</t>
        </is>
      </c>
      <c r="C38" s="4" t="inlineStr">
        <is>
          <t>Middle name persisted to profiles</t>
        </is>
      </c>
      <c r="D38" s="4" t="inlineStr">
        <is>
          <t>signupFn:239-245</t>
        </is>
      </c>
      <c r="E38" s="28">
        <f>COUNTIF('Test Cases'!$M$5:$M$1000,"*"&amp;A38&amp;"*")</f>
        <v/>
      </c>
      <c r="F38" s="28">
        <f>COUNTIFS('Test Cases'!$M$5:$M$1000,"*"&amp;A38&amp;"*",'Test Cases'!$Q$5:$Q$1000,"Pass")</f>
        <v/>
      </c>
      <c r="G38" s="28">
        <f>IF(E38&gt;0,"Covered","GAP")</f>
        <v/>
      </c>
      <c r="H38" s="4" t="inlineStr">
        <is>
          <t>REG-005</t>
        </is>
      </c>
    </row>
    <row r="39" ht="20" customHeight="1">
      <c r="A39" s="27" t="inlineStr">
        <is>
          <t>REG-10</t>
        </is>
      </c>
      <c r="B39" s="4" t="inlineStr">
        <is>
          <t>Registration</t>
        </is>
      </c>
      <c r="C39" s="4" t="inlineStr">
        <is>
          <t>Duplicate confirmed email rejected</t>
        </is>
      </c>
      <c r="D39" s="4" t="inlineStr">
        <is>
          <t>signupFn:189-235</t>
        </is>
      </c>
      <c r="E39" s="28">
        <f>COUNTIF('Test Cases'!$M$5:$M$1000,"*"&amp;A39&amp;"*")</f>
        <v/>
      </c>
      <c r="F39" s="28">
        <f>COUNTIFS('Test Cases'!$M$5:$M$1000,"*"&amp;A39&amp;"*",'Test Cases'!$Q$5:$Q$1000,"Pass")</f>
        <v/>
      </c>
      <c r="G39" s="28">
        <f>IF(E39&gt;0,"Covered","GAP")</f>
        <v/>
      </c>
      <c r="H39" s="4" t="inlineStr">
        <is>
          <t>REG-027, REG-028, REG-042</t>
        </is>
      </c>
    </row>
    <row r="40" ht="20" customHeight="1">
      <c r="A40" s="27" t="inlineStr">
        <is>
          <t>REG-11</t>
        </is>
      </c>
      <c r="B40" s="4" t="inlineStr">
        <is>
          <t>Registration</t>
        </is>
      </c>
      <c r="C40" s="4" t="inlineStr">
        <is>
          <t>Duplicate unconfirmed email deleted and recreated</t>
        </is>
      </c>
      <c r="D40" s="4" t="inlineStr">
        <is>
          <t>signupFn:203-221</t>
        </is>
      </c>
      <c r="E40" s="28">
        <f>COUNTIF('Test Cases'!$M$5:$M$1000,"*"&amp;A40&amp;"*")</f>
        <v/>
      </c>
      <c r="F40" s="28">
        <f>COUNTIFS('Test Cases'!$M$5:$M$1000,"*"&amp;A40&amp;"*",'Test Cases'!$Q$5:$Q$1000,"Pass")</f>
        <v/>
      </c>
      <c r="G40" s="28">
        <f>IF(E40&gt;0,"Covered","GAP")</f>
        <v/>
      </c>
      <c r="H40" s="4" t="inlineStr">
        <is>
          <t>REG-029, REG-030</t>
        </is>
      </c>
    </row>
    <row r="41" ht="20" customHeight="1">
      <c r="A41" s="27" t="inlineStr">
        <is>
          <t>REG-12</t>
        </is>
      </c>
      <c r="B41" s="4" t="inlineStr">
        <is>
          <t>Registration</t>
        </is>
      </c>
      <c r="C41" s="4" t="inlineStr">
        <is>
          <t>Empty backend error fallback message</t>
        </is>
      </c>
      <c r="D41" s="4" t="inlineStr">
        <is>
          <t>signupFn:226-234</t>
        </is>
      </c>
      <c r="E41" s="28">
        <f>COUNTIF('Test Cases'!$M$5:$M$1000,"*"&amp;A41&amp;"*")</f>
        <v/>
      </c>
      <c r="F41" s="28">
        <f>COUNTIFS('Test Cases'!$M$5:$M$1000,"*"&amp;A41&amp;"*",'Test Cases'!$Q$5:$Q$1000,"Pass")</f>
        <v/>
      </c>
      <c r="G41" s="28">
        <f>IF(E41&gt;0,"Covered","GAP")</f>
        <v/>
      </c>
      <c r="H41" s="4" t="inlineStr">
        <is>
          <t>REG-033</t>
        </is>
      </c>
    </row>
    <row r="42" ht="20" customHeight="1">
      <c r="A42" s="27" t="inlineStr">
        <is>
          <t>REG-13</t>
        </is>
      </c>
      <c r="B42" s="4" t="inlineStr">
        <is>
          <t>Registration</t>
        </is>
      </c>
      <c r="C42" s="4" t="inlineStr">
        <is>
          <t>Verification-email send failure</t>
        </is>
      </c>
      <c r="D42" s="4" t="inlineStr">
        <is>
          <t>sendSignupOtpEmail:64-91</t>
        </is>
      </c>
      <c r="E42" s="28">
        <f>COUNTIF('Test Cases'!$M$5:$M$1000,"*"&amp;A42&amp;"*")</f>
        <v/>
      </c>
      <c r="F42" s="28">
        <f>COUNTIFS('Test Cases'!$M$5:$M$1000,"*"&amp;A42&amp;"*",'Test Cases'!$Q$5:$Q$1000,"Pass")</f>
        <v/>
      </c>
      <c r="G42" s="28">
        <f>IF(E42&gt;0,"Covered","GAP")</f>
        <v/>
      </c>
      <c r="H42" s="4" t="inlineStr">
        <is>
          <t>REG-032, OTP-023</t>
        </is>
      </c>
    </row>
    <row r="43" ht="20" customHeight="1">
      <c r="A43" s="27" t="inlineStr">
        <is>
          <t>REG-14</t>
        </is>
      </c>
      <c r="B43" s="4" t="inlineStr">
        <is>
          <t>Registration</t>
        </is>
      </c>
      <c r="C43" s="4" t="inlineStr">
        <is>
          <t>Resend code from the verify dialog</t>
        </is>
      </c>
      <c r="D43" s="4" t="inlineStr">
        <is>
          <t>RegisterForm.tsx:142-145</t>
        </is>
      </c>
      <c r="E43" s="28">
        <f>COUNTIF('Test Cases'!$M$5:$M$1000,"*"&amp;A43&amp;"*")</f>
        <v/>
      </c>
      <c r="F43" s="28">
        <f>COUNTIFS('Test Cases'!$M$5:$M$1000,"*"&amp;A43&amp;"*",'Test Cases'!$Q$5:$Q$1000,"Pass")</f>
        <v/>
      </c>
      <c r="G43" s="28">
        <f>IF(E43&gt;0,"Covered","GAP")</f>
        <v/>
      </c>
      <c r="H43" s="4" t="inlineStr">
        <is>
          <t>LGN-019, REG-040</t>
        </is>
      </c>
    </row>
    <row r="44" ht="20" customHeight="1">
      <c r="A44" s="27" t="inlineStr">
        <is>
          <t>REG-15</t>
        </is>
      </c>
      <c r="B44" s="4" t="inlineStr">
        <is>
          <t>Registration</t>
        </is>
      </c>
      <c r="C44" s="4" t="inlineStr">
        <is>
          <t>"Use a different email" / dialog dismissal</t>
        </is>
      </c>
      <c r="D44" s="4" t="inlineStr">
        <is>
          <t>RegisterForm.tsx:146</t>
        </is>
      </c>
      <c r="E44" s="28">
        <f>COUNTIF('Test Cases'!$M$5:$M$1000,"*"&amp;A44&amp;"*")</f>
        <v/>
      </c>
      <c r="F44" s="28">
        <f>COUNTIFS('Test Cases'!$M$5:$M$1000,"*"&amp;A44&amp;"*",'Test Cases'!$Q$5:$Q$1000,"Pass")</f>
        <v/>
      </c>
      <c r="G44" s="28">
        <f>IF(E44&gt;0,"Covered","GAP")</f>
        <v/>
      </c>
      <c r="H44" s="4" t="inlineStr">
        <is>
          <t>REG-039</t>
        </is>
      </c>
    </row>
    <row r="45" ht="20" customHeight="1">
      <c r="A45" s="27" t="inlineStr">
        <is>
          <t>REG-16</t>
        </is>
      </c>
      <c r="B45" s="4" t="inlineStr">
        <is>
          <t>Registration</t>
        </is>
      </c>
      <c r="C45" s="4" t="inlineStr">
        <is>
          <t>HTML / SQL injection safety in name fields</t>
        </is>
      </c>
      <c r="D45" s="4" t="inlineStr">
        <is>
          <t>signupFn; email-template</t>
        </is>
      </c>
      <c r="E45" s="28">
        <f>COUNTIF('Test Cases'!$M$5:$M$1000,"*"&amp;A45&amp;"*")</f>
        <v/>
      </c>
      <c r="F45" s="28">
        <f>COUNTIFS('Test Cases'!$M$5:$M$1000,"*"&amp;A45&amp;"*",'Test Cases'!$Q$5:$Q$1000,"Pass")</f>
        <v/>
      </c>
      <c r="G45" s="28">
        <f>IF(E45&gt;0,"Covered","GAP")</f>
        <v/>
      </c>
      <c r="H45" s="4" t="inlineStr">
        <is>
          <t>REG-036, REG-037, EML-003</t>
        </is>
      </c>
    </row>
    <row r="46" ht="20" customHeight="1">
      <c r="A46" s="27" t="inlineStr">
        <is>
          <t>REG-17</t>
        </is>
      </c>
      <c r="B46" s="4" t="inlineStr">
        <is>
          <t>Registration</t>
        </is>
      </c>
      <c r="C46" s="4" t="inlineStr">
        <is>
          <t>User-directory lookup limited to 1,000 users</t>
        </is>
      </c>
      <c r="D46" s="4" t="inlineStr">
        <is>
          <t>signupFn:199-201</t>
        </is>
      </c>
      <c r="E46" s="28">
        <f>COUNTIF('Test Cases'!$M$5:$M$1000,"*"&amp;A46&amp;"*")</f>
        <v/>
      </c>
      <c r="F46" s="28">
        <f>COUNTIFS('Test Cases'!$M$5:$M$1000,"*"&amp;A46&amp;"*",'Test Cases'!$Q$5:$Q$1000,"Pass")</f>
        <v/>
      </c>
      <c r="G46" s="28">
        <f>IF(E46&gt;0,"Covered","GAP")</f>
        <v/>
      </c>
      <c r="H46" s="4" t="inlineStr">
        <is>
          <t>REG-031</t>
        </is>
      </c>
    </row>
    <row r="47" ht="20" customHeight="1">
      <c r="A47" s="27" t="inlineStr">
        <is>
          <t>REG-18</t>
        </is>
      </c>
      <c r="B47" s="4" t="inlineStr">
        <is>
          <t>Registration</t>
        </is>
      </c>
      <c r="C47" s="4" t="inlineStr">
        <is>
          <t>Profile auto-created with role applicant / status active</t>
        </is>
      </c>
      <c r="D47" s="4" t="inlineStr">
        <is>
          <t>handle_new_user trigger</t>
        </is>
      </c>
      <c r="E47" s="28">
        <f>COUNTIF('Test Cases'!$M$5:$M$1000,"*"&amp;A47&amp;"*")</f>
        <v/>
      </c>
      <c r="F47" s="28">
        <f>COUNTIFS('Test Cases'!$M$5:$M$1000,"*"&amp;A47&amp;"*",'Test Cases'!$Q$5:$Q$1000,"Pass")</f>
        <v/>
      </c>
      <c r="G47" s="28">
        <f>IF(E47&gt;0,"Covered","GAP")</f>
        <v/>
      </c>
      <c r="H47" s="4" t="inlineStr">
        <is>
          <t>REG-006</t>
        </is>
      </c>
    </row>
    <row r="48" ht="20" customHeight="1">
      <c r="A48" s="27" t="inlineStr">
        <is>
          <t>REG-19</t>
        </is>
      </c>
      <c r="B48" s="4" t="inlineStr">
        <is>
          <t>Registration</t>
        </is>
      </c>
      <c r="C48" s="4" t="inlineStr">
        <is>
          <t>Form reset and in-memory-only pending credentials</t>
        </is>
      </c>
      <c r="D48" s="4" t="inlineStr">
        <is>
          <t>RegisterForm.tsx:83-89,117-119</t>
        </is>
      </c>
      <c r="E48" s="28">
        <f>COUNTIF('Test Cases'!$M$5:$M$1000,"*"&amp;A48&amp;"*")</f>
        <v/>
      </c>
      <c r="F48" s="28">
        <f>COUNTIFS('Test Cases'!$M$5:$M$1000,"*"&amp;A48&amp;"*",'Test Cases'!$Q$5:$Q$1000,"Pass")</f>
        <v/>
      </c>
      <c r="G48" s="28">
        <f>IF(E48&gt;0,"Covered","GAP")</f>
        <v/>
      </c>
      <c r="H48" s="4" t="inlineStr">
        <is>
          <t>REG-001, REG-039, REG-041</t>
        </is>
      </c>
    </row>
    <row r="49" ht="20" customHeight="1">
      <c r="A49" s="27" t="inlineStr">
        <is>
          <t>REG-20</t>
        </is>
      </c>
      <c r="B49" s="4" t="inlineStr">
        <is>
          <t>Registration</t>
        </is>
      </c>
      <c r="C49" s="4" t="inlineStr">
        <is>
          <t>Name character-set and length boundaries</t>
        </is>
      </c>
      <c r="D49" s="4" t="inlineStr">
        <is>
          <t>RegisterForm.tsx:39-41</t>
        </is>
      </c>
      <c r="E49" s="28">
        <f>COUNTIF('Test Cases'!$M$5:$M$1000,"*"&amp;A49&amp;"*")</f>
        <v/>
      </c>
      <c r="F49" s="28">
        <f>COUNTIFS('Test Cases'!$M$5:$M$1000,"*"&amp;A49&amp;"*",'Test Cases'!$Q$5:$Q$1000,"Pass")</f>
        <v/>
      </c>
      <c r="G49" s="28">
        <f>IF(E49&gt;0,"Covered","GAP")</f>
        <v/>
      </c>
      <c r="H49" s="4" t="inlineStr">
        <is>
          <t>REG-007, REG-010, REG-011, REG-022, REG-038</t>
        </is>
      </c>
    </row>
    <row r="50" ht="20" customHeight="1">
      <c r="A50" s="27" t="inlineStr">
        <is>
          <t>REG-21</t>
        </is>
      </c>
      <c r="B50" s="4" t="inlineStr">
        <is>
          <t>Registration</t>
        </is>
      </c>
      <c r="C50" s="4" t="inlineStr">
        <is>
          <t>Pending state and double-submit protection</t>
        </is>
      </c>
      <c r="D50" s="4" t="inlineStr">
        <is>
          <t>RegisterForm.tsx:379-392</t>
        </is>
      </c>
      <c r="E50" s="28">
        <f>COUNTIF('Test Cases'!$M$5:$M$1000,"*"&amp;A50&amp;"*")</f>
        <v/>
      </c>
      <c r="F50" s="28">
        <f>COUNTIFS('Test Cases'!$M$5:$M$1000,"*"&amp;A50&amp;"*",'Test Cases'!$Q$5:$Q$1000,"Pass")</f>
        <v/>
      </c>
      <c r="G50" s="28">
        <f>IF(E50&gt;0,"Covered","GAP")</f>
        <v/>
      </c>
      <c r="H50" s="4" t="inlineStr">
        <is>
          <t>REG-035</t>
        </is>
      </c>
    </row>
    <row r="51" ht="20" customHeight="1">
      <c r="A51" s="27" t="inlineStr">
        <is>
          <t>REG-22</t>
        </is>
      </c>
      <c r="B51" s="4" t="inlineStr">
        <is>
          <t>Registration</t>
        </is>
      </c>
      <c r="C51" s="4" t="inlineStr">
        <is>
          <t>Terms of Use / Privacy Notice links</t>
        </is>
      </c>
      <c r="D51" s="4" t="inlineStr">
        <is>
          <t>RegisterForm.tsx:360-368</t>
        </is>
      </c>
      <c r="E51" s="28">
        <f>COUNTIF('Test Cases'!$M$5:$M$1000,"*"&amp;A51&amp;"*")</f>
        <v/>
      </c>
      <c r="F51" s="28">
        <f>COUNTIFS('Test Cases'!$M$5:$M$1000,"*"&amp;A51&amp;"*",'Test Cases'!$Q$5:$Q$1000,"Pass")</f>
        <v/>
      </c>
      <c r="G51" s="28">
        <f>IF(E51&gt;0,"Covered","GAP")</f>
        <v/>
      </c>
      <c r="H51" s="4" t="inlineStr">
        <is>
          <t>REG-026</t>
        </is>
      </c>
    </row>
    <row r="52" ht="20" customHeight="1">
      <c r="A52" s="27" t="inlineStr">
        <is>
          <t>REG-23</t>
        </is>
      </c>
      <c r="B52" s="4" t="inlineStr">
        <is>
          <t>Registration</t>
        </is>
      </c>
      <c r="C52" s="4" t="inlineStr">
        <is>
          <t>Network failure during sign-up</t>
        </is>
      </c>
      <c r="D52" s="4" t="inlineStr">
        <is>
          <t>useSignUp.ts</t>
        </is>
      </c>
      <c r="E52" s="28">
        <f>COUNTIF('Test Cases'!$M$5:$M$1000,"*"&amp;A52&amp;"*")</f>
        <v/>
      </c>
      <c r="F52" s="28">
        <f>COUNTIFS('Test Cases'!$M$5:$M$1000,"*"&amp;A52&amp;"*",'Test Cases'!$Q$5:$Q$1000,"Pass")</f>
        <v/>
      </c>
      <c r="G52" s="28">
        <f>IF(E52&gt;0,"Covered","GAP")</f>
        <v/>
      </c>
      <c r="H52" s="4" t="inlineStr">
        <is>
          <t>REG-034</t>
        </is>
      </c>
    </row>
    <row r="53" ht="20" customHeight="1">
      <c r="A53" s="27" t="inlineStr">
        <is>
          <t>OTP-01</t>
        </is>
      </c>
      <c r="B53" s="4" t="inlineStr">
        <is>
          <t>Email OTP verification</t>
        </is>
      </c>
      <c r="C53" s="4" t="inlineStr">
        <is>
          <t>Input sanitised to digits only</t>
        </is>
      </c>
      <c r="D53" s="4" t="inlineStr">
        <is>
          <t>OtpCodeForm.tsx:89-93</t>
        </is>
      </c>
      <c r="E53" s="28">
        <f>COUNTIF('Test Cases'!$M$5:$M$1000,"*"&amp;A53&amp;"*")</f>
        <v/>
      </c>
      <c r="F53" s="28">
        <f>COUNTIFS('Test Cases'!$M$5:$M$1000,"*"&amp;A53&amp;"*",'Test Cases'!$Q$5:$Q$1000,"Pass")</f>
        <v/>
      </c>
      <c r="G53" s="28">
        <f>IF(E53&gt;0,"Covered","GAP")</f>
        <v/>
      </c>
      <c r="H53" s="4" t="inlineStr">
        <is>
          <t>OTP-003, OTP-004</t>
        </is>
      </c>
    </row>
    <row r="54" ht="20" customHeight="1">
      <c r="A54" s="27" t="inlineStr">
        <is>
          <t>OTP-02</t>
        </is>
      </c>
      <c r="B54" s="4" t="inlineStr">
        <is>
          <t>Email OTP verification</t>
        </is>
      </c>
      <c r="C54" s="4" t="inlineStr">
        <is>
          <t>Minimum length 6 gates the Verify button</t>
        </is>
      </c>
      <c r="D54" s="4" t="inlineStr">
        <is>
          <t>OtpCodeForm.tsx:14,54,102</t>
        </is>
      </c>
      <c r="E54" s="28">
        <f>COUNTIF('Test Cases'!$M$5:$M$1000,"*"&amp;A54&amp;"*")</f>
        <v/>
      </c>
      <c r="F54" s="28">
        <f>COUNTIFS('Test Cases'!$M$5:$M$1000,"*"&amp;A54&amp;"*",'Test Cases'!$Q$5:$Q$1000,"Pass")</f>
        <v/>
      </c>
      <c r="G54" s="28">
        <f>IF(E54&gt;0,"Covered","GAP")</f>
        <v/>
      </c>
      <c r="H54" s="4" t="inlineStr">
        <is>
          <t>OTP-005, OTP-006</t>
        </is>
      </c>
    </row>
    <row r="55" ht="20" customHeight="1">
      <c r="A55" s="27" t="inlineStr">
        <is>
          <t>OTP-03</t>
        </is>
      </c>
      <c r="B55" s="4" t="inlineStr">
        <is>
          <t>Email OTP verification</t>
        </is>
      </c>
      <c r="C55" s="4" t="inlineStr">
        <is>
          <t>Maximum length 12 cap</t>
        </is>
      </c>
      <c r="D55" s="4" t="inlineStr">
        <is>
          <t>OtpCodeForm.tsx:15,86</t>
        </is>
      </c>
      <c r="E55" s="28">
        <f>COUNTIF('Test Cases'!$M$5:$M$1000,"*"&amp;A55&amp;"*")</f>
        <v/>
      </c>
      <c r="F55" s="28">
        <f>COUNTIFS('Test Cases'!$M$5:$M$1000,"*"&amp;A55&amp;"*",'Test Cases'!$Q$5:$Q$1000,"Pass")</f>
        <v/>
      </c>
      <c r="G55" s="28">
        <f>IF(E55&gt;0,"Covered","GAP")</f>
        <v/>
      </c>
      <c r="H55" s="4" t="inlineStr">
        <is>
          <t>OTP-007, OTP-008</t>
        </is>
      </c>
    </row>
    <row r="56" ht="20" customHeight="1">
      <c r="A56" s="27" t="inlineStr">
        <is>
          <t>OTP-04</t>
        </is>
      </c>
      <c r="B56" s="4" t="inlineStr">
        <is>
          <t>Email OTP verification</t>
        </is>
      </c>
      <c r="C56" s="4" t="inlineStr">
        <is>
          <t>Valid signup code confirms the account and signs in</t>
        </is>
      </c>
      <c r="D56" s="4" t="inlineStr">
        <is>
          <t>verifySignupOtpFn; useVerifySignupOtp.ts</t>
        </is>
      </c>
      <c r="E56" s="28">
        <f>COUNTIF('Test Cases'!$M$5:$M$1000,"*"&amp;A56&amp;"*")</f>
        <v/>
      </c>
      <c r="F56" s="28">
        <f>COUNTIFS('Test Cases'!$M$5:$M$1000,"*"&amp;A56&amp;"*",'Test Cases'!$Q$5:$Q$1000,"Pass")</f>
        <v/>
      </c>
      <c r="G56" s="28">
        <f>IF(E56&gt;0,"Covered","GAP")</f>
        <v/>
      </c>
      <c r="H56" s="4" t="inlineStr">
        <is>
          <t>OTP-001, OTP-002</t>
        </is>
      </c>
    </row>
    <row r="57" ht="20" customHeight="1">
      <c r="A57" s="27" t="inlineStr">
        <is>
          <t>OTP-05</t>
        </is>
      </c>
      <c r="B57" s="4" t="inlineStr">
        <is>
          <t>Email OTP verification</t>
        </is>
      </c>
      <c r="C57" s="4" t="inlineStr">
        <is>
          <t>"Wrong code" message</t>
        </is>
      </c>
      <c r="D57" s="4" t="inlineStr">
        <is>
          <t>describeRejectedOtp:63-64</t>
        </is>
      </c>
      <c r="E57" s="28">
        <f>COUNTIF('Test Cases'!$M$5:$M$1000,"*"&amp;A57&amp;"*")</f>
        <v/>
      </c>
      <c r="F57" s="28">
        <f>COUNTIFS('Test Cases'!$M$5:$M$1000,"*"&amp;A57&amp;"*",'Test Cases'!$Q$5:$Q$1000,"Pass")</f>
        <v/>
      </c>
      <c r="G57" s="28">
        <f>IF(E57&gt;0,"Covered","GAP")</f>
        <v/>
      </c>
      <c r="H57" s="4" t="inlineStr">
        <is>
          <t>OTP-010, OTP-017</t>
        </is>
      </c>
    </row>
    <row r="58" ht="20" customHeight="1">
      <c r="A58" s="27" t="inlineStr">
        <is>
          <t>OTP-06</t>
        </is>
      </c>
      <c r="B58" s="4" t="inlineStr">
        <is>
          <t>Email OTP verification</t>
        </is>
      </c>
      <c r="C58" s="4" t="inlineStr">
        <is>
          <t>"Old code" (replaced) message</t>
        </is>
      </c>
      <c r="D58" s="4" t="inlineStr">
        <is>
          <t>describeRejectedOtp:70</t>
        </is>
      </c>
      <c r="E58" s="28">
        <f>COUNTIF('Test Cases'!$M$5:$M$1000,"*"&amp;A58&amp;"*")</f>
        <v/>
      </c>
      <c r="F58" s="28">
        <f>COUNTIFS('Test Cases'!$M$5:$M$1000,"*"&amp;A58&amp;"*",'Test Cases'!$Q$5:$Q$1000,"Pass")</f>
        <v/>
      </c>
      <c r="G58" s="28">
        <f>IF(E58&gt;0,"Covered","GAP")</f>
        <v/>
      </c>
      <c r="H58" s="4" t="inlineStr">
        <is>
          <t>REG-029, OTP-011, OTP-015</t>
        </is>
      </c>
    </row>
    <row r="59" ht="20" customHeight="1">
      <c r="A59" s="27" t="inlineStr">
        <is>
          <t>OTP-07</t>
        </is>
      </c>
      <c r="B59" s="4" t="inlineStr">
        <is>
          <t>Email OTP verification</t>
        </is>
      </c>
      <c r="C59" s="4" t="inlineStr">
        <is>
          <t>"Expired" message for the newest code after 1 h</t>
        </is>
      </c>
      <c r="D59" s="4" t="inlineStr">
        <is>
          <t>describeRejectedOtp:67-70</t>
        </is>
      </c>
      <c r="E59" s="28">
        <f>COUNTIF('Test Cases'!$M$5:$M$1000,"*"&amp;A59&amp;"*")</f>
        <v/>
      </c>
      <c r="F59" s="28">
        <f>COUNTIFS('Test Cases'!$M$5:$M$1000,"*"&amp;A59&amp;"*",'Test Cases'!$Q$5:$Q$1000,"Pass")</f>
        <v/>
      </c>
      <c r="G59" s="28">
        <f>IF(E59&gt;0,"Covered","GAP")</f>
        <v/>
      </c>
      <c r="H59" s="4" t="inlineStr">
        <is>
          <t>OTP-012, OTP-030</t>
        </is>
      </c>
    </row>
    <row r="60" ht="20" customHeight="1">
      <c r="A60" s="27" t="inlineStr">
        <is>
          <t>OTP-08</t>
        </is>
      </c>
      <c r="B60" s="4" t="inlineStr">
        <is>
          <t>Email OTP verification</t>
        </is>
      </c>
      <c r="C60" s="4" t="inlineStr">
        <is>
          <t>Expiry boundary at exactly 3,600,000 ms</t>
        </is>
      </c>
      <c r="D60" s="4" t="inlineStr">
        <is>
          <t>describeRejectedOtp:67-69</t>
        </is>
      </c>
      <c r="E60" s="28">
        <f>COUNTIF('Test Cases'!$M$5:$M$1000,"*"&amp;A60&amp;"*")</f>
        <v/>
      </c>
      <c r="F60" s="28">
        <f>COUNTIFS('Test Cases'!$M$5:$M$1000,"*"&amp;A60&amp;"*",'Test Cases'!$Q$5:$Q$1000,"Pass")</f>
        <v/>
      </c>
      <c r="G60" s="28">
        <f>IF(E60&gt;0,"Covered","GAP")</f>
        <v/>
      </c>
      <c r="H60" s="4" t="inlineStr">
        <is>
          <t>OTP-013, OTP-014, OTP-015</t>
        </is>
      </c>
    </row>
    <row r="61" ht="20" customHeight="1">
      <c r="A61" s="27" t="inlineStr">
        <is>
          <t>OTP-09</t>
        </is>
      </c>
      <c r="B61" s="4" t="inlineStr">
        <is>
          <t>Email OTP verification</t>
        </is>
      </c>
      <c r="C61" s="4" t="inlineStr">
        <is>
          <t>Replay of an already used code</t>
        </is>
      </c>
      <c r="D61" s="4" t="inlineStr">
        <is>
          <t>clearIssuedOtps; describeRejectedOtp</t>
        </is>
      </c>
      <c r="E61" s="28">
        <f>COUNTIF('Test Cases'!$M$5:$M$1000,"*"&amp;A61&amp;"*")</f>
        <v/>
      </c>
      <c r="F61" s="28">
        <f>COUNTIFS('Test Cases'!$M$5:$M$1000,"*"&amp;A61&amp;"*",'Test Cases'!$Q$5:$Q$1000,"Pass")</f>
        <v/>
      </c>
      <c r="G61" s="28">
        <f>IF(E61&gt;0,"Covered","GAP")</f>
        <v/>
      </c>
      <c r="H61" s="4" t="inlineStr">
        <is>
          <t>OTP-016</t>
        </is>
      </c>
    </row>
    <row r="62" ht="20" customHeight="1">
      <c r="A62" s="27" t="inlineStr">
        <is>
          <t>OTP-10</t>
        </is>
      </c>
      <c r="B62" s="4" t="inlineStr">
        <is>
          <t>Email OTP verification</t>
        </is>
      </c>
      <c r="C62" s="4" t="inlineStr">
        <is>
          <t>30-second resend cooldown and boundary</t>
        </is>
      </c>
      <c r="D62" s="4" t="inlineStr">
        <is>
          <t>OtpCodeForm.tsx:16,44-50</t>
        </is>
      </c>
      <c r="E62" s="28">
        <f>COUNTIF('Test Cases'!$M$5:$M$1000,"*"&amp;A62&amp;"*")</f>
        <v/>
      </c>
      <c r="F62" s="28">
        <f>COUNTIFS('Test Cases'!$M$5:$M$1000,"*"&amp;A62&amp;"*",'Test Cases'!$Q$5:$Q$1000,"Pass")</f>
        <v/>
      </c>
      <c r="G62" s="28">
        <f>IF(E62&gt;0,"Covered","GAP")</f>
        <v/>
      </c>
      <c r="H62" s="4" t="inlineStr">
        <is>
          <t>OTP-019, OTP-020, OTP-021, OTP-022</t>
        </is>
      </c>
    </row>
    <row r="63" ht="20" customHeight="1">
      <c r="A63" s="27" t="inlineStr">
        <is>
          <t>OTP-11</t>
        </is>
      </c>
      <c r="B63" s="4" t="inlineStr">
        <is>
          <t>Email OTP verification</t>
        </is>
      </c>
      <c r="C63" s="4" t="inlineStr">
        <is>
          <t>Resend issues a new code, clears input, invalidates the old code</t>
        </is>
      </c>
      <c r="D63" s="4" t="inlineStr">
        <is>
          <t>OtpCodeForm.tsx:57-61</t>
        </is>
      </c>
      <c r="E63" s="28">
        <f>COUNTIF('Test Cases'!$M$5:$M$1000,"*"&amp;A63&amp;"*")</f>
        <v/>
      </c>
      <c r="F63" s="28">
        <f>COUNTIFS('Test Cases'!$M$5:$M$1000,"*"&amp;A63&amp;"*",'Test Cases'!$Q$5:$Q$1000,"Pass")</f>
        <v/>
      </c>
      <c r="G63" s="28">
        <f>IF(E63&gt;0,"Covered","GAP")</f>
        <v/>
      </c>
      <c r="H63" s="4" t="inlineStr">
        <is>
          <t>REG-040, OTP-011, OTP-021, OTP-023</t>
        </is>
      </c>
    </row>
    <row r="64" ht="20" customHeight="1">
      <c r="A64" s="27" t="inlineStr">
        <is>
          <t>OTP-12</t>
        </is>
      </c>
      <c r="B64" s="4" t="inlineStr">
        <is>
          <t>Email OTP verification</t>
        </is>
      </c>
      <c r="C64" s="4" t="inlineStr">
        <is>
          <t>Issued-code store: HMAC hashes only, cleanup, RLS lock-down</t>
        </is>
      </c>
      <c r="D64" s="4" t="inlineStr">
        <is>
          <t>otp-codes.server.ts; migration</t>
        </is>
      </c>
      <c r="E64" s="28">
        <f>COUNTIF('Test Cases'!$M$5:$M$1000,"*"&amp;A64&amp;"*")</f>
        <v/>
      </c>
      <c r="F64" s="28">
        <f>COUNTIFS('Test Cases'!$M$5:$M$1000,"*"&amp;A64&amp;"*",'Test Cases'!$Q$5:$Q$1000,"Pass")</f>
        <v/>
      </c>
      <c r="G64" s="28">
        <f>IF(E64&gt;0,"Covered","GAP")</f>
        <v/>
      </c>
      <c r="H64" s="4" t="inlineStr">
        <is>
          <t>OTP-001, OTP-027, OTP-028, OTP-029, AUD-006</t>
        </is>
      </c>
    </row>
    <row r="65" ht="20" customHeight="1">
      <c r="A65" s="27" t="inlineStr">
        <is>
          <t>OTP-13</t>
        </is>
      </c>
      <c r="B65" s="4" t="inlineStr">
        <is>
          <t>Email OTP verification</t>
        </is>
      </c>
      <c r="C65" s="4" t="inlineStr">
        <is>
          <t>Non-rejection verify errors (network, empty message)</t>
        </is>
      </c>
      <c r="D65" s="4" t="inlineStr">
        <is>
          <t>verifySignupOtpFn:367-374</t>
        </is>
      </c>
      <c r="E65" s="28">
        <f>COUNTIF('Test Cases'!$M$5:$M$1000,"*"&amp;A65&amp;"*")</f>
        <v/>
      </c>
      <c r="F65" s="28">
        <f>COUNTIFS('Test Cases'!$M$5:$M$1000,"*"&amp;A65&amp;"*",'Test Cases'!$Q$5:$Q$1000,"Pass")</f>
        <v/>
      </c>
      <c r="G65" s="28">
        <f>IF(E65&gt;0,"Covered","GAP")</f>
        <v/>
      </c>
      <c r="H65" s="4" t="inlineStr">
        <is>
          <t>OTP-024, OTP-025</t>
        </is>
      </c>
    </row>
    <row r="66" ht="20" customHeight="1">
      <c r="A66" s="27" t="inlineStr">
        <is>
          <t>OTP-14</t>
        </is>
      </c>
      <c r="B66" s="4" t="inlineStr">
        <is>
          <t>Email OTP verification</t>
        </is>
      </c>
      <c r="C66" s="4" t="inlineStr">
        <is>
          <t>Email case-insensitivity in code lookup</t>
        </is>
      </c>
      <c r="D66" s="4" t="inlineStr">
        <is>
          <t>otp-codes.server.ts:14-18</t>
        </is>
      </c>
      <c r="E66" s="28">
        <f>COUNTIF('Test Cases'!$M$5:$M$1000,"*"&amp;A66&amp;"*")</f>
        <v/>
      </c>
      <c r="F66" s="28">
        <f>COUNTIFS('Test Cases'!$M$5:$M$1000,"*"&amp;A66&amp;"*",'Test Cases'!$Q$5:$Q$1000,"Pass")</f>
        <v/>
      </c>
      <c r="G66" s="28">
        <f>IF(E66&gt;0,"Covered","GAP")</f>
        <v/>
      </c>
      <c r="H66" s="4" t="inlineStr">
        <is>
          <t>OTP-018, FPW-006</t>
        </is>
      </c>
    </row>
    <row r="67" ht="20" customHeight="1">
      <c r="A67" s="27" t="inlineStr">
        <is>
          <t>OTP-15</t>
        </is>
      </c>
      <c r="B67" s="4" t="inlineStr">
        <is>
          <t>Email OTP verification</t>
        </is>
      </c>
      <c r="C67" s="4" t="inlineStr">
        <is>
          <t>Repeated wrong-code attempts</t>
        </is>
      </c>
      <c r="D67" s="4" t="inlineStr">
        <is>
          <t>verifySignupOtpFn</t>
        </is>
      </c>
      <c r="E67" s="28">
        <f>COUNTIF('Test Cases'!$M$5:$M$1000,"*"&amp;A67&amp;"*")</f>
        <v/>
      </c>
      <c r="F67" s="28">
        <f>COUNTIFS('Test Cases'!$M$5:$M$1000,"*"&amp;A67&amp;"*",'Test Cases'!$Q$5:$Q$1000,"Pass")</f>
        <v/>
      </c>
      <c r="G67" s="28">
        <f>IF(E67&gt;0,"Covered","GAP")</f>
        <v/>
      </c>
      <c r="H67" s="4" t="inlineStr">
        <is>
          <t>OTP-026</t>
        </is>
      </c>
    </row>
    <row r="68" ht="20" customHeight="1">
      <c r="A68" s="27" t="inlineStr">
        <is>
          <t>OTP-16</t>
        </is>
      </c>
      <c r="B68" s="4" t="inlineStr">
        <is>
          <t>Email OTP verification</t>
        </is>
      </c>
      <c r="C68" s="4" t="inlineStr">
        <is>
          <t>Paste, autofill and mobile keypad handling</t>
        </is>
      </c>
      <c r="D68" s="4" t="inlineStr">
        <is>
          <t>OtpCodeForm.tsx:84-95</t>
        </is>
      </c>
      <c r="E68" s="28">
        <f>COUNTIF('Test Cases'!$M$5:$M$1000,"*"&amp;A68&amp;"*")</f>
        <v/>
      </c>
      <c r="F68" s="28">
        <f>COUNTIFS('Test Cases'!$M$5:$M$1000,"*"&amp;A68&amp;"*",'Test Cases'!$Q$5:$Q$1000,"Pass")</f>
        <v/>
      </c>
      <c r="G68" s="28">
        <f>IF(E68&gt;0,"Covered","GAP")</f>
        <v/>
      </c>
      <c r="H68" s="4" t="inlineStr">
        <is>
          <t>OTP-004, OTP-009</t>
        </is>
      </c>
    </row>
    <row r="69" ht="20" customHeight="1">
      <c r="A69" s="27" t="inlineStr">
        <is>
          <t>OTP-17</t>
        </is>
      </c>
      <c r="B69" s="4" t="inlineStr">
        <is>
          <t>Email OTP verification</t>
        </is>
      </c>
      <c r="C69" s="4" t="inlineStr">
        <is>
          <t>resendSignupOtpFn re-verifies the password (anti-takeover)</t>
        </is>
      </c>
      <c r="D69" s="4" t="inlineStr">
        <is>
          <t>resendSignupOtpFn:277-293</t>
        </is>
      </c>
      <c r="E69" s="28">
        <f>COUNTIF('Test Cases'!$M$5:$M$1000,"*"&amp;A69&amp;"*")</f>
        <v/>
      </c>
      <c r="F69" s="28">
        <f>COUNTIFS('Test Cases'!$M$5:$M$1000,"*"&amp;A69&amp;"*",'Test Cases'!$Q$5:$Q$1000,"Pass")</f>
        <v/>
      </c>
      <c r="G69" s="28">
        <f>IF(E69&gt;0,"Covered","GAP")</f>
        <v/>
      </c>
      <c r="H69" s="4" t="inlineStr">
        <is>
          <t>LGN-019, LGN-020, OTP-031</t>
        </is>
      </c>
    </row>
    <row r="70" ht="20" customHeight="1">
      <c r="A70" s="27" t="inlineStr">
        <is>
          <t>OTP-18</t>
        </is>
      </c>
      <c r="B70" s="4" t="inlineStr">
        <is>
          <t>Email OTP verification</t>
        </is>
      </c>
      <c r="C70" s="4" t="inlineStr">
        <is>
          <t>resendSignupOtpFn guard branches and metadata retention</t>
        </is>
      </c>
      <c r="D70" s="4" t="inlineStr">
        <is>
          <t>resendSignupOtpFn:295-347</t>
        </is>
      </c>
      <c r="E70" s="28">
        <f>COUNTIF('Test Cases'!$M$5:$M$1000,"*"&amp;A70&amp;"*")</f>
        <v/>
      </c>
      <c r="F70" s="28">
        <f>COUNTIFS('Test Cases'!$M$5:$M$1000,"*"&amp;A70&amp;"*",'Test Cases'!$Q$5:$Q$1000,"Pass")</f>
        <v/>
      </c>
      <c r="G70" s="28">
        <f>IF(E70&gt;0,"Covered","GAP")</f>
        <v/>
      </c>
      <c r="H70" s="4" t="inlineStr">
        <is>
          <t>REG-031, OTP-032, OTP-033, OTP-034, OTP-035</t>
        </is>
      </c>
    </row>
    <row r="71" ht="20" customHeight="1">
      <c r="A71" s="27" t="inlineStr">
        <is>
          <t>OTP-19</t>
        </is>
      </c>
      <c r="B71" s="4" t="inlineStr">
        <is>
          <t>Email OTP verification</t>
        </is>
      </c>
      <c r="C71" s="4" t="inlineStr">
        <is>
          <t>Supabase OTP expiry matches the 1-hour promise</t>
        </is>
      </c>
      <c r="D71" s="4" t="inlineStr">
        <is>
          <t>otp-codes.server.ts:7</t>
        </is>
      </c>
      <c r="E71" s="28">
        <f>COUNTIF('Test Cases'!$M$5:$M$1000,"*"&amp;A71&amp;"*")</f>
        <v/>
      </c>
      <c r="F71" s="28">
        <f>COUNTIFS('Test Cases'!$M$5:$M$1000,"*"&amp;A71&amp;"*",'Test Cases'!$Q$5:$Q$1000,"Pass")</f>
        <v/>
      </c>
      <c r="G71" s="28">
        <f>IF(E71&gt;0,"Covered","GAP")</f>
        <v/>
      </c>
      <c r="H71" s="4" t="inlineStr">
        <is>
          <t>OTP-030</t>
        </is>
      </c>
    </row>
    <row r="72" ht="20" customHeight="1">
      <c r="A72" s="27" t="inlineStr">
        <is>
          <t>EML-01</t>
        </is>
      </c>
      <c r="B72" s="4" t="inlineStr">
        <is>
          <t>Auth emails</t>
        </is>
      </c>
      <c r="C72" s="4" t="inlineStr">
        <is>
          <t>User-supplied text is HTML-escaped</t>
        </is>
      </c>
      <c r="D72" s="4" t="inlineStr">
        <is>
          <t>email-template.ts:22-27</t>
        </is>
      </c>
      <c r="E72" s="28">
        <f>COUNTIF('Test Cases'!$M$5:$M$1000,"*"&amp;A72&amp;"*")</f>
        <v/>
      </c>
      <c r="F72" s="28">
        <f>COUNTIFS('Test Cases'!$M$5:$M$1000,"*"&amp;A72&amp;"*",'Test Cases'!$Q$5:$Q$1000,"Pass")</f>
        <v/>
      </c>
      <c r="G72" s="28">
        <f>IF(E72&gt;0,"Covered","GAP")</f>
        <v/>
      </c>
      <c r="H72" s="4" t="inlineStr">
        <is>
          <t>REG-036, EML-003</t>
        </is>
      </c>
    </row>
    <row r="73" ht="20" customHeight="1">
      <c r="A73" s="27" t="inlineStr">
        <is>
          <t>EML-02</t>
        </is>
      </c>
      <c r="B73" s="4" t="inlineStr">
        <is>
          <t>Auth emails</t>
        </is>
      </c>
      <c r="C73" s="4" t="inlineStr">
        <is>
          <t>Signup email content</t>
        </is>
      </c>
      <c r="D73" s="4" t="inlineStr">
        <is>
          <t>auth.mutations.ts:64-84</t>
        </is>
      </c>
      <c r="E73" s="28">
        <f>COUNTIF('Test Cases'!$M$5:$M$1000,"*"&amp;A73&amp;"*")</f>
        <v/>
      </c>
      <c r="F73" s="28">
        <f>COUNTIFS('Test Cases'!$M$5:$M$1000,"*"&amp;A73&amp;"*",'Test Cases'!$Q$5:$Q$1000,"Pass")</f>
        <v/>
      </c>
      <c r="G73" s="28">
        <f>IF(E73&gt;0,"Covered","GAP")</f>
        <v/>
      </c>
      <c r="H73" s="4" t="inlineStr">
        <is>
          <t>REG-001, REG-032, EML-001</t>
        </is>
      </c>
    </row>
    <row r="74" ht="20" customHeight="1">
      <c r="A74" s="27" t="inlineStr">
        <is>
          <t>EML-03</t>
        </is>
      </c>
      <c r="B74" s="4" t="inlineStr">
        <is>
          <t>Auth emails</t>
        </is>
      </c>
      <c r="C74" s="4" t="inlineStr">
        <is>
          <t>Password-reset email content</t>
        </is>
      </c>
      <c r="D74" s="4" t="inlineStr">
        <is>
          <t>auth.mutations.ts:457-472</t>
        </is>
      </c>
      <c r="E74" s="28">
        <f>COUNTIF('Test Cases'!$M$5:$M$1000,"*"&amp;A74&amp;"*")</f>
        <v/>
      </c>
      <c r="F74" s="28">
        <f>COUNTIFS('Test Cases'!$M$5:$M$1000,"*"&amp;A74&amp;"*",'Test Cases'!$Q$5:$Q$1000,"Pass")</f>
        <v/>
      </c>
      <c r="G74" s="28">
        <f>IF(E74&gt;0,"Covered","GAP")</f>
        <v/>
      </c>
      <c r="H74" s="4" t="inlineStr">
        <is>
          <t>EML-002, FPW-001</t>
        </is>
      </c>
    </row>
    <row r="75" ht="20" customHeight="1">
      <c r="A75" s="27" t="inlineStr">
        <is>
          <t>FPW-01</t>
        </is>
      </c>
      <c r="B75" s="4" t="inlineStr">
        <is>
          <t>Forgot password</t>
        </is>
      </c>
      <c r="C75" s="4" t="inlineStr">
        <is>
          <t>Email validation (no type=email sanitising)</t>
        </is>
      </c>
      <c r="D75" s="4" t="inlineStr">
        <is>
          <t>ForgotPasswordForm.tsx:33-35</t>
        </is>
      </c>
      <c r="E75" s="28">
        <f>COUNTIF('Test Cases'!$M$5:$M$1000,"*"&amp;A75&amp;"*")</f>
        <v/>
      </c>
      <c r="F75" s="28">
        <f>COUNTIFS('Test Cases'!$M$5:$M$1000,"*"&amp;A75&amp;"*",'Test Cases'!$Q$5:$Q$1000,"Pass")</f>
        <v/>
      </c>
      <c r="G75" s="28">
        <f>IF(E75&gt;0,"Covered","GAP")</f>
        <v/>
      </c>
      <c r="H75" s="4" t="inlineStr">
        <is>
          <t>FPW-003, FPW-004, FPW-005</t>
        </is>
      </c>
    </row>
    <row r="76" ht="20" customHeight="1">
      <c r="A76" s="27" t="inlineStr">
        <is>
          <t>FPW-02</t>
        </is>
      </c>
      <c r="B76" s="4" t="inlineStr">
        <is>
          <t>Forgot password</t>
        </is>
      </c>
      <c r="C76" s="4" t="inlineStr">
        <is>
          <t>Registered email receives a recovery code</t>
        </is>
      </c>
      <c r="D76" s="4" t="inlineStr">
        <is>
          <t>forgotPasswordFn</t>
        </is>
      </c>
      <c r="E76" s="28">
        <f>COUNTIF('Test Cases'!$M$5:$M$1000,"*"&amp;A76&amp;"*")</f>
        <v/>
      </c>
      <c r="F76" s="28">
        <f>COUNTIFS('Test Cases'!$M$5:$M$1000,"*"&amp;A76&amp;"*",'Test Cases'!$Q$5:$Q$1000,"Pass")</f>
        <v/>
      </c>
      <c r="G76" s="28">
        <f>IF(E76&gt;0,"Covered","GAP")</f>
        <v/>
      </c>
      <c r="H76" s="4" t="inlineStr">
        <is>
          <t>FPW-001, FPW-006</t>
        </is>
      </c>
    </row>
    <row r="77" ht="20" customHeight="1">
      <c r="A77" s="27" t="inlineStr">
        <is>
          <t>FPW-03</t>
        </is>
      </c>
      <c r="B77" s="4" t="inlineStr">
        <is>
          <t>Forgot password</t>
        </is>
      </c>
      <c r="C77" s="4" t="inlineStr">
        <is>
          <t>Unregistered email returns identical response</t>
        </is>
      </c>
      <c r="D77" s="4" t="inlineStr">
        <is>
          <t>forgotPasswordFn:427-435</t>
        </is>
      </c>
      <c r="E77" s="28">
        <f>COUNTIF('Test Cases'!$M$5:$M$1000,"*"&amp;A77&amp;"*")</f>
        <v/>
      </c>
      <c r="F77" s="28">
        <f>COUNTIFS('Test Cases'!$M$5:$M$1000,"*"&amp;A77&amp;"*",'Test Cases'!$Q$5:$Q$1000,"Pass")</f>
        <v/>
      </c>
      <c r="G77" s="28">
        <f>IF(E77&gt;0,"Covered","GAP")</f>
        <v/>
      </c>
      <c r="H77" s="4" t="inlineStr">
        <is>
          <t>FPW-002</t>
        </is>
      </c>
    </row>
    <row r="78" ht="20" customHeight="1">
      <c r="A78" s="27" t="inlineStr">
        <is>
          <t>FPW-04</t>
        </is>
      </c>
      <c r="B78" s="4" t="inlineStr">
        <is>
          <t>Forgot password</t>
        </is>
      </c>
      <c r="C78" s="4" t="inlineStr">
        <is>
          <t>Email send failure</t>
        </is>
      </c>
      <c r="D78" s="4" t="inlineStr">
        <is>
          <t>forgotPasswordFn:456-479</t>
        </is>
      </c>
      <c r="E78" s="28">
        <f>COUNTIF('Test Cases'!$M$5:$M$1000,"*"&amp;A78&amp;"*")</f>
        <v/>
      </c>
      <c r="F78" s="28">
        <f>COUNTIFS('Test Cases'!$M$5:$M$1000,"*"&amp;A78&amp;"*",'Test Cases'!$Q$5:$Q$1000,"Pass")</f>
        <v/>
      </c>
      <c r="G78" s="28">
        <f>IF(E78&gt;0,"Covered","GAP")</f>
        <v/>
      </c>
      <c r="H78" s="4" t="inlineStr">
        <is>
          <t>FPW-007</t>
        </is>
      </c>
    </row>
    <row r="79" ht="20" customHeight="1">
      <c r="A79" s="27" t="inlineStr">
        <is>
          <t>FPW-05</t>
        </is>
      </c>
      <c r="B79" s="4" t="inlineStr">
        <is>
          <t>Forgot password</t>
        </is>
      </c>
      <c r="C79" s="4" t="inlineStr">
        <is>
          <t>Missing OTP in generated link</t>
        </is>
      </c>
      <c r="D79" s="4" t="inlineStr">
        <is>
          <t>forgotPasswordFn:447-454</t>
        </is>
      </c>
      <c r="E79" s="28">
        <f>COUNTIF('Test Cases'!$M$5:$M$1000,"*"&amp;A79&amp;"*")</f>
        <v/>
      </c>
      <c r="F79" s="28">
        <f>COUNTIFS('Test Cases'!$M$5:$M$1000,"*"&amp;A79&amp;"*",'Test Cases'!$Q$5:$Q$1000,"Pass")</f>
        <v/>
      </c>
      <c r="G79" s="28">
        <f>IF(E79&gt;0,"Covered","GAP")</f>
        <v/>
      </c>
      <c r="H79" s="4" t="inlineStr">
        <is>
          <t>FPW-008</t>
        </is>
      </c>
    </row>
    <row r="80" ht="34" customHeight="1">
      <c r="A80" s="27" t="inlineStr">
        <is>
          <t>FPW-06</t>
        </is>
      </c>
      <c r="B80" s="4" t="inlineStr">
        <is>
          <t>Forgot password</t>
        </is>
      </c>
      <c r="C80" s="4" t="inlineStr">
        <is>
          <t>Valid recovery code opens a session and goes to /reset-password</t>
        </is>
      </c>
      <c r="D80" s="4" t="inlineStr">
        <is>
          <t>verifyRecoveryOtpFn; useVerifyRecoveryOtp.ts</t>
        </is>
      </c>
      <c r="E80" s="28">
        <f>COUNTIF('Test Cases'!$M$5:$M$1000,"*"&amp;A80&amp;"*")</f>
        <v/>
      </c>
      <c r="F80" s="28">
        <f>COUNTIFS('Test Cases'!$M$5:$M$1000,"*"&amp;A80&amp;"*",'Test Cases'!$Q$5:$Q$1000,"Pass")</f>
        <v/>
      </c>
      <c r="G80" s="28">
        <f>IF(E80&gt;0,"Covered","GAP")</f>
        <v/>
      </c>
      <c r="H80" s="4" t="inlineStr">
        <is>
          <t>FPW-010</t>
        </is>
      </c>
    </row>
    <row r="81" ht="20" customHeight="1">
      <c r="A81" s="27" t="inlineStr">
        <is>
          <t>FPW-07</t>
        </is>
      </c>
      <c r="B81" s="4" t="inlineStr">
        <is>
          <t>Forgot password</t>
        </is>
      </c>
      <c r="C81" s="4" t="inlineStr">
        <is>
          <t>Recovery-code rejection messages (wrong, old, expired)</t>
        </is>
      </c>
      <c r="D81" s="4" t="inlineStr">
        <is>
          <t>verifyRecoveryOtpFn:499-505</t>
        </is>
      </c>
      <c r="E81" s="28">
        <f>COUNTIF('Test Cases'!$M$5:$M$1000,"*"&amp;A81&amp;"*")</f>
        <v/>
      </c>
      <c r="F81" s="28">
        <f>COUNTIFS('Test Cases'!$M$5:$M$1000,"*"&amp;A81&amp;"*",'Test Cases'!$Q$5:$Q$1000,"Pass")</f>
        <v/>
      </c>
      <c r="G81" s="28">
        <f>IF(E81&gt;0,"Covered","GAP")</f>
        <v/>
      </c>
      <c r="H81" s="4" t="inlineStr">
        <is>
          <t>FPW-011, FPW-012, FPW-013, FPW-017</t>
        </is>
      </c>
    </row>
    <row r="82" ht="20" customHeight="1">
      <c r="A82" s="27" t="inlineStr">
        <is>
          <t>FPW-08</t>
        </is>
      </c>
      <c r="B82" s="4" t="inlineStr">
        <is>
          <t>Forgot password</t>
        </is>
      </c>
      <c r="C82" s="4" t="inlineStr">
        <is>
          <t>Resend recovery code</t>
        </is>
      </c>
      <c r="D82" s="4" t="inlineStr">
        <is>
          <t>ForgotPasswordForm.tsx:96-98</t>
        </is>
      </c>
      <c r="E82" s="28">
        <f>COUNTIF('Test Cases'!$M$5:$M$1000,"*"&amp;A82&amp;"*")</f>
        <v/>
      </c>
      <c r="F82" s="28">
        <f>COUNTIFS('Test Cases'!$M$5:$M$1000,"*"&amp;A82&amp;"*",'Test Cases'!$Q$5:$Q$1000,"Pass")</f>
        <v/>
      </c>
      <c r="G82" s="28">
        <f>IF(E82&gt;0,"Covered","GAP")</f>
        <v/>
      </c>
      <c r="H82" s="4" t="inlineStr">
        <is>
          <t>FPW-012, FPW-014</t>
        </is>
      </c>
    </row>
    <row r="83" ht="20" customHeight="1">
      <c r="A83" s="27" t="inlineStr">
        <is>
          <t>FPW-09</t>
        </is>
      </c>
      <c r="B83" s="4" t="inlineStr">
        <is>
          <t>Forgot password</t>
        </is>
      </c>
      <c r="C83" s="4" t="inlineStr">
        <is>
          <t>"Back to sign in" links</t>
        </is>
      </c>
      <c r="D83" s="4" t="inlineStr">
        <is>
          <t>ForgotPasswordForm.tsx:101,170</t>
        </is>
      </c>
      <c r="E83" s="28">
        <f>COUNTIF('Test Cases'!$M$5:$M$1000,"*"&amp;A83&amp;"*")</f>
        <v/>
      </c>
      <c r="F83" s="28">
        <f>COUNTIFS('Test Cases'!$M$5:$M$1000,"*"&amp;A83&amp;"*",'Test Cases'!$Q$5:$Q$1000,"Pass")</f>
        <v/>
      </c>
      <c r="G83" s="28">
        <f>IF(E83&gt;0,"Covered","GAP")</f>
        <v/>
      </c>
      <c r="H83" s="4" t="inlineStr">
        <is>
          <t>FPW-023</t>
        </is>
      </c>
    </row>
    <row r="84" ht="20" customHeight="1">
      <c r="A84" s="27" t="inlineStr">
        <is>
          <t>FPW-10</t>
        </is>
      </c>
      <c r="B84" s="4" t="inlineStr">
        <is>
          <t>Forgot password</t>
        </is>
      </c>
      <c r="C84" s="4" t="inlineStr">
        <is>
          <t>Empty backend error and network failure messaging</t>
        </is>
      </c>
      <c r="D84" s="4" t="inlineStr">
        <is>
          <t>forgotPasswordFn:437-444</t>
        </is>
      </c>
      <c r="E84" s="28">
        <f>COUNTIF('Test Cases'!$M$5:$M$1000,"*"&amp;A84&amp;"*")</f>
        <v/>
      </c>
      <c r="F84" s="28">
        <f>COUNTIFS('Test Cases'!$M$5:$M$1000,"*"&amp;A84&amp;"*",'Test Cases'!$Q$5:$Q$1000,"Pass")</f>
        <v/>
      </c>
      <c r="G84" s="28">
        <f>IF(E84&gt;0,"Covered","GAP")</f>
        <v/>
      </c>
      <c r="H84" s="4" t="inlineStr">
        <is>
          <t>FPW-009</t>
        </is>
      </c>
    </row>
    <row r="85" ht="20" customHeight="1">
      <c r="A85" s="27" t="inlineStr">
        <is>
          <t>FPW-11</t>
        </is>
      </c>
      <c r="B85" s="4" t="inlineStr">
        <is>
          <t>Forgot password</t>
        </is>
      </c>
      <c r="C85" s="4" t="inlineStr">
        <is>
          <t>Recovery for unconfirmed and OAuth-only accounts</t>
        </is>
      </c>
      <c r="D85" s="4" t="inlineStr">
        <is>
          <t>forgotPasswordFn</t>
        </is>
      </c>
      <c r="E85" s="28">
        <f>COUNTIF('Test Cases'!$M$5:$M$1000,"*"&amp;A85&amp;"*")</f>
        <v/>
      </c>
      <c r="F85" s="28">
        <f>COUNTIFS('Test Cases'!$M$5:$M$1000,"*"&amp;A85&amp;"*",'Test Cases'!$Q$5:$Q$1000,"Pass")</f>
        <v/>
      </c>
      <c r="G85" s="28">
        <f>IF(E85&gt;0,"Covered","GAP")</f>
        <v/>
      </c>
      <c r="H85" s="4" t="inlineStr">
        <is>
          <t>FPW-018, FPW-019</t>
        </is>
      </c>
    </row>
    <row r="86" ht="20" customHeight="1">
      <c r="A86" s="27" t="inlineStr">
        <is>
          <t>FPW-12</t>
        </is>
      </c>
      <c r="B86" s="4" t="inlineStr">
        <is>
          <t>Forgot password</t>
        </is>
      </c>
      <c r="C86" s="4" t="inlineStr">
        <is>
          <t>Recovery session audit event</t>
        </is>
      </c>
      <c r="D86" s="4" t="inlineStr">
        <is>
          <t>verifyRecoveryOtpFn:519</t>
        </is>
      </c>
      <c r="E86" s="28">
        <f>COUNTIF('Test Cases'!$M$5:$M$1000,"*"&amp;A86&amp;"*")</f>
        <v/>
      </c>
      <c r="F86" s="28">
        <f>COUNTIFS('Test Cases'!$M$5:$M$1000,"*"&amp;A86&amp;"*",'Test Cases'!$Q$5:$Q$1000,"Pass")</f>
        <v/>
      </c>
      <c r="G86" s="28">
        <f>IF(E86&gt;0,"Covered","GAP")</f>
        <v/>
      </c>
      <c r="H86" s="4" t="inlineStr">
        <is>
          <t>FPW-010</t>
        </is>
      </c>
    </row>
    <row r="87" ht="20" customHeight="1">
      <c r="A87" s="27" t="inlineStr">
        <is>
          <t>FPW-13</t>
        </is>
      </c>
      <c r="B87" s="4" t="inlineStr">
        <is>
          <t>Forgot password</t>
        </is>
      </c>
      <c r="C87" s="4" t="inlineStr">
        <is>
          <t>Request flooding / throttling</t>
        </is>
      </c>
      <c r="D87" s="4" t="inlineStr">
        <is>
          <t>forgotPasswordFn</t>
        </is>
      </c>
      <c r="E87" s="28">
        <f>COUNTIF('Test Cases'!$M$5:$M$1000,"*"&amp;A87&amp;"*")</f>
        <v/>
      </c>
      <c r="F87" s="28">
        <f>COUNTIFS('Test Cases'!$M$5:$M$1000,"*"&amp;A87&amp;"*",'Test Cases'!$Q$5:$Q$1000,"Pass")</f>
        <v/>
      </c>
      <c r="G87" s="28">
        <f>IF(E87&gt;0,"Covered","GAP")</f>
        <v/>
      </c>
      <c r="H87" s="4" t="inlineStr">
        <is>
          <t>FPW-021</t>
        </is>
      </c>
    </row>
    <row r="88" ht="20" customHeight="1">
      <c r="A88" s="27" t="inlineStr">
        <is>
          <t>FPW-14</t>
        </is>
      </c>
      <c r="B88" s="4" t="inlineStr">
        <is>
          <t>Forgot password</t>
        </is>
      </c>
      <c r="C88" s="4" t="inlineStr">
        <is>
          <t>Codes bound to purpose and email</t>
        </is>
      </c>
      <c r="D88" s="4" t="inlineStr">
        <is>
          <t>verifyRecoveryOtpFn; verifySignupOtpFn</t>
        </is>
      </c>
      <c r="E88" s="28">
        <f>COUNTIF('Test Cases'!$M$5:$M$1000,"*"&amp;A88&amp;"*")</f>
        <v/>
      </c>
      <c r="F88" s="28">
        <f>COUNTIFS('Test Cases'!$M$5:$M$1000,"*"&amp;A88&amp;"*",'Test Cases'!$Q$5:$Q$1000,"Pass")</f>
        <v/>
      </c>
      <c r="G88" s="28">
        <f>IF(E88&gt;0,"Covered","GAP")</f>
        <v/>
      </c>
      <c r="H88" s="4" t="inlineStr">
        <is>
          <t>OTP-017, FPW-015, FPW-016</t>
        </is>
      </c>
    </row>
    <row r="89" ht="20" customHeight="1">
      <c r="A89" s="27" t="inlineStr">
        <is>
          <t>FPW-15</t>
        </is>
      </c>
      <c r="B89" s="4" t="inlineStr">
        <is>
          <t>Forgot password</t>
        </is>
      </c>
      <c r="C89" s="4" t="inlineStr">
        <is>
          <t>Pending state and double-submit protection</t>
        </is>
      </c>
      <c r="D89" s="4" t="inlineStr">
        <is>
          <t>ForgotPasswordForm.tsx:154-168</t>
        </is>
      </c>
      <c r="E89" s="28">
        <f>COUNTIF('Test Cases'!$M$5:$M$1000,"*"&amp;A89&amp;"*")</f>
        <v/>
      </c>
      <c r="F89" s="28">
        <f>COUNTIFS('Test Cases'!$M$5:$M$1000,"*"&amp;A89&amp;"*",'Test Cases'!$Q$5:$Q$1000,"Pass")</f>
        <v/>
      </c>
      <c r="G89" s="28">
        <f>IF(E89&gt;0,"Covered","GAP")</f>
        <v/>
      </c>
      <c r="H89" s="4" t="inlineStr">
        <is>
          <t>FPW-020</t>
        </is>
      </c>
    </row>
    <row r="90" ht="20" customHeight="1">
      <c r="A90" s="27" t="inlineStr">
        <is>
          <t>FPW-16</t>
        </is>
      </c>
      <c r="B90" s="4" t="inlineStr">
        <is>
          <t>Forgot password</t>
        </is>
      </c>
      <c r="C90" s="4" t="inlineStr">
        <is>
          <t>Page refresh mid-flow</t>
        </is>
      </c>
      <c r="D90" s="4" t="inlineStr">
        <is>
          <t>ForgotPasswordForm.tsx:39-47</t>
        </is>
      </c>
      <c r="E90" s="28">
        <f>COUNTIF('Test Cases'!$M$5:$M$1000,"*"&amp;A90&amp;"*")</f>
        <v/>
      </c>
      <c r="F90" s="28">
        <f>COUNTIFS('Test Cases'!$M$5:$M$1000,"*"&amp;A90&amp;"*",'Test Cases'!$Q$5:$Q$1000,"Pass")</f>
        <v/>
      </c>
      <c r="G90" s="28">
        <f>IF(E90&gt;0,"Covered","GAP")</f>
        <v/>
      </c>
      <c r="H90" s="4" t="inlineStr">
        <is>
          <t>FPW-022</t>
        </is>
      </c>
    </row>
    <row r="91" ht="20" customHeight="1">
      <c r="A91" s="27" t="inlineStr">
        <is>
          <t>RPW-01</t>
        </is>
      </c>
      <c r="B91" s="4" t="inlineStr">
        <is>
          <t>Reset password</t>
        </is>
      </c>
      <c r="C91" s="4" t="inlineStr">
        <is>
          <t>New-password minimum length 8</t>
        </is>
      </c>
      <c r="D91" s="4" t="inlineStr">
        <is>
          <t>ResetPasswordForm.tsx:36</t>
        </is>
      </c>
      <c r="E91" s="28">
        <f>COUNTIF('Test Cases'!$M$5:$M$1000,"*"&amp;A91&amp;"*")</f>
        <v/>
      </c>
      <c r="F91" s="28">
        <f>COUNTIFS('Test Cases'!$M$5:$M$1000,"*"&amp;A91&amp;"*",'Test Cases'!$Q$5:$Q$1000,"Pass")</f>
        <v/>
      </c>
      <c r="G91" s="28">
        <f>IF(E91&gt;0,"Covered","GAP")</f>
        <v/>
      </c>
      <c r="H91" s="4" t="inlineStr">
        <is>
          <t>RPW-002, RPW-003</t>
        </is>
      </c>
    </row>
    <row r="92" ht="20" customHeight="1">
      <c r="A92" s="27" t="inlineStr">
        <is>
          <t>RPW-02</t>
        </is>
      </c>
      <c r="B92" s="4" t="inlineStr">
        <is>
          <t>Reset password</t>
        </is>
      </c>
      <c r="C92" s="4" t="inlineStr">
        <is>
          <t>Confirmation-match rule and copy</t>
        </is>
      </c>
      <c r="D92" s="4" t="inlineStr">
        <is>
          <t>ResetPasswordForm.tsx:37-42</t>
        </is>
      </c>
      <c r="E92" s="28">
        <f>COUNTIF('Test Cases'!$M$5:$M$1000,"*"&amp;A92&amp;"*")</f>
        <v/>
      </c>
      <c r="F92" s="28">
        <f>COUNTIFS('Test Cases'!$M$5:$M$1000,"*"&amp;A92&amp;"*",'Test Cases'!$Q$5:$Q$1000,"Pass")</f>
        <v/>
      </c>
      <c r="G92" s="28">
        <f>IF(E92&gt;0,"Covered","GAP")</f>
        <v/>
      </c>
      <c r="H92" s="4" t="inlineStr">
        <is>
          <t>RPW-004, RPW-005, RPW-006</t>
        </is>
      </c>
    </row>
    <row r="93" ht="20" customHeight="1">
      <c r="A93" s="27" t="inlineStr">
        <is>
          <t>RPW-03</t>
        </is>
      </c>
      <c r="B93" s="4" t="inlineStr">
        <is>
          <t>Reset password</t>
        </is>
      </c>
      <c r="C93" s="4" t="inlineStr">
        <is>
          <t>Digit rule consistent with sign-up</t>
        </is>
      </c>
      <c r="D93" s="4" t="inlineStr">
        <is>
          <t>ResetPasswordForm.tsx:36; resetPasswordFn</t>
        </is>
      </c>
      <c r="E93" s="28">
        <f>COUNTIF('Test Cases'!$M$5:$M$1000,"*"&amp;A93&amp;"*")</f>
        <v/>
      </c>
      <c r="F93" s="28">
        <f>COUNTIFS('Test Cases'!$M$5:$M$1000,"*"&amp;A93&amp;"*",'Test Cases'!$Q$5:$Q$1000,"Pass")</f>
        <v/>
      </c>
      <c r="G93" s="28">
        <f>IF(E93&gt;0,"Covered","GAP")</f>
        <v/>
      </c>
      <c r="H93" s="4" t="inlineStr">
        <is>
          <t>RPW-007, RPW-012</t>
        </is>
      </c>
    </row>
    <row r="94" ht="20" customHeight="1">
      <c r="A94" s="27" t="inlineStr">
        <is>
          <t>RPW-04</t>
        </is>
      </c>
      <c r="B94" s="4" t="inlineStr">
        <is>
          <t>Reset password</t>
        </is>
      </c>
      <c r="C94" s="4" t="inlineStr">
        <is>
          <t>Success: toast, cache clear, redirect to /login</t>
        </is>
      </c>
      <c r="D94" s="4" t="inlineStr">
        <is>
          <t>useResetPassword.ts</t>
        </is>
      </c>
      <c r="E94" s="28">
        <f>COUNTIF('Test Cases'!$M$5:$M$1000,"*"&amp;A94&amp;"*")</f>
        <v/>
      </c>
      <c r="F94" s="28">
        <f>COUNTIFS('Test Cases'!$M$5:$M$1000,"*"&amp;A94&amp;"*",'Test Cases'!$Q$5:$Q$1000,"Pass")</f>
        <v/>
      </c>
      <c r="G94" s="28">
        <f>IF(E94&gt;0,"Covered","GAP")</f>
        <v/>
      </c>
      <c r="H94" s="4" t="inlineStr">
        <is>
          <t>RPW-001, RPW-003</t>
        </is>
      </c>
    </row>
    <row r="95" ht="20" customHeight="1">
      <c r="A95" s="27" t="inlineStr">
        <is>
          <t>RPW-05</t>
        </is>
      </c>
      <c r="B95" s="4" t="inlineStr">
        <is>
          <t>Reset password</t>
        </is>
      </c>
      <c r="C95" s="4" t="inlineStr">
        <is>
          <t>Same-as-current password rejected</t>
        </is>
      </c>
      <c r="D95" s="4" t="inlineStr">
        <is>
          <t>resetPasswordFn:391-397</t>
        </is>
      </c>
      <c r="E95" s="28">
        <f>COUNTIF('Test Cases'!$M$5:$M$1000,"*"&amp;A95&amp;"*")</f>
        <v/>
      </c>
      <c r="F95" s="28">
        <f>COUNTIFS('Test Cases'!$M$5:$M$1000,"*"&amp;A95&amp;"*",'Test Cases'!$Q$5:$Q$1000,"Pass")</f>
        <v/>
      </c>
      <c r="G95" s="28">
        <f>IF(E95&gt;0,"Covered","GAP")</f>
        <v/>
      </c>
      <c r="H95" s="4" t="inlineStr">
        <is>
          <t>RPW-008</t>
        </is>
      </c>
    </row>
    <row r="96" ht="20" customHeight="1">
      <c r="A96" s="27" t="inlineStr">
        <is>
          <t>RPW-06</t>
        </is>
      </c>
      <c r="B96" s="4" t="inlineStr">
        <is>
          <t>Reset password</t>
        </is>
      </c>
      <c r="C96" s="4" t="inlineStr">
        <is>
          <t>Access without a recovery session</t>
        </is>
      </c>
      <c r="D96" s="4" t="inlineStr">
        <is>
          <t>routes/reset-password.tsx</t>
        </is>
      </c>
      <c r="E96" s="28">
        <f>COUNTIF('Test Cases'!$M$5:$M$1000,"*"&amp;A96&amp;"*")</f>
        <v/>
      </c>
      <c r="F96" s="28">
        <f>COUNTIFS('Test Cases'!$M$5:$M$1000,"*"&amp;A96&amp;"*",'Test Cases'!$Q$5:$Q$1000,"Pass")</f>
        <v/>
      </c>
      <c r="G96" s="28">
        <f>IF(E96&gt;0,"Covered","GAP")</f>
        <v/>
      </c>
      <c r="H96" s="4" t="inlineStr">
        <is>
          <t>RPW-009, RPW-010</t>
        </is>
      </c>
    </row>
    <row r="97" ht="20" customHeight="1">
      <c r="A97" s="27" t="inlineStr">
        <is>
          <t>RPW-07</t>
        </is>
      </c>
      <c r="B97" s="4" t="inlineStr">
        <is>
          <t>Reset password</t>
        </is>
      </c>
      <c r="C97" s="4" t="inlineStr">
        <is>
          <t>Old password stops working, new one works</t>
        </is>
      </c>
      <c r="D97" s="4" t="inlineStr">
        <is>
          <t>resetPasswordFn</t>
        </is>
      </c>
      <c r="E97" s="28">
        <f>COUNTIF('Test Cases'!$M$5:$M$1000,"*"&amp;A97&amp;"*")</f>
        <v/>
      </c>
      <c r="F97" s="28">
        <f>COUNTIFS('Test Cases'!$M$5:$M$1000,"*"&amp;A97&amp;"*",'Test Cases'!$Q$5:$Q$1000,"Pass")</f>
        <v/>
      </c>
      <c r="G97" s="28">
        <f>IF(E97&gt;0,"Covered","GAP")</f>
        <v/>
      </c>
      <c r="H97" s="4" t="inlineStr">
        <is>
          <t>RPW-001</t>
        </is>
      </c>
    </row>
    <row r="98" ht="20" customHeight="1">
      <c r="A98" s="27" t="inlineStr">
        <is>
          <t>RPW-08</t>
        </is>
      </c>
      <c r="B98" s="4" t="inlineStr">
        <is>
          <t>Reset password</t>
        </is>
      </c>
      <c r="C98" s="4" t="inlineStr">
        <is>
          <t>Server and network error mapping</t>
        </is>
      </c>
      <c r="D98" s="4" t="inlineStr">
        <is>
          <t>ResetPasswordForm.tsx:54-58</t>
        </is>
      </c>
      <c r="E98" s="28">
        <f>COUNTIF('Test Cases'!$M$5:$M$1000,"*"&amp;A98&amp;"*")</f>
        <v/>
      </c>
      <c r="F98" s="28">
        <f>COUNTIFS('Test Cases'!$M$5:$M$1000,"*"&amp;A98&amp;"*",'Test Cases'!$Q$5:$Q$1000,"Pass")</f>
        <v/>
      </c>
      <c r="G98" s="28">
        <f>IF(E98&gt;0,"Covered","GAP")</f>
        <v/>
      </c>
      <c r="H98" s="4" t="inlineStr">
        <is>
          <t>RPW-010, RPW-017</t>
        </is>
      </c>
    </row>
    <row r="99" ht="20" customHeight="1">
      <c r="A99" s="27" t="inlineStr">
        <is>
          <t>RPW-09</t>
        </is>
      </c>
      <c r="B99" s="4" t="inlineStr">
        <is>
          <t>Reset password</t>
        </is>
      </c>
      <c r="C99" s="4" t="inlineStr">
        <is>
          <t>Inactive account cannot reset</t>
        </is>
      </c>
      <c r="D99" s="4" t="inlineStr">
        <is>
          <t>resetPasswordFn:384</t>
        </is>
      </c>
      <c r="E99" s="28">
        <f>COUNTIF('Test Cases'!$M$5:$M$1000,"*"&amp;A99&amp;"*")</f>
        <v/>
      </c>
      <c r="F99" s="28">
        <f>COUNTIFS('Test Cases'!$M$5:$M$1000,"*"&amp;A99&amp;"*",'Test Cases'!$Q$5:$Q$1000,"Pass")</f>
        <v/>
      </c>
      <c r="G99" s="28">
        <f>IF(E99&gt;0,"Covered","GAP")</f>
        <v/>
      </c>
      <c r="H99" s="4" t="inlineStr">
        <is>
          <t>RPW-011</t>
        </is>
      </c>
    </row>
    <row r="100" ht="20" customHeight="1">
      <c r="A100" s="27" t="inlineStr">
        <is>
          <t>RPW-10</t>
        </is>
      </c>
      <c r="B100" s="4" t="inlineStr">
        <is>
          <t>Reset password</t>
        </is>
      </c>
      <c r="C100" s="4" t="inlineStr">
        <is>
          <t>Visibility toggles</t>
        </is>
      </c>
      <c r="D100" s="4" t="inlineStr">
        <is>
          <t>ResetPasswordForm.tsx:152,192</t>
        </is>
      </c>
      <c r="E100" s="28">
        <f>COUNTIF('Test Cases'!$M$5:$M$1000,"*"&amp;A100&amp;"*")</f>
        <v/>
      </c>
      <c r="F100" s="28">
        <f>COUNTIFS('Test Cases'!$M$5:$M$1000,"*"&amp;A100&amp;"*",'Test Cases'!$Q$5:$Q$1000,"Pass")</f>
        <v/>
      </c>
      <c r="G100" s="28">
        <f>IF(E100&gt;0,"Covered","GAP")</f>
        <v/>
      </c>
      <c r="H100" s="4" t="inlineStr">
        <is>
          <t>RPW-014</t>
        </is>
      </c>
    </row>
    <row r="101" ht="20" customHeight="1">
      <c r="A101" s="27" t="inlineStr">
        <is>
          <t>RPW-11</t>
        </is>
      </c>
      <c r="B101" s="4" t="inlineStr">
        <is>
          <t>Reset password</t>
        </is>
      </c>
      <c r="C101" s="4" t="inlineStr">
        <is>
          <t>Server-side enforcement of rules</t>
        </is>
      </c>
      <c r="D101" s="4" t="inlineStr">
        <is>
          <t>resetPasswordFn</t>
        </is>
      </c>
      <c r="E101" s="28">
        <f>COUNTIF('Test Cases'!$M$5:$M$1000,"*"&amp;A101&amp;"*")</f>
        <v/>
      </c>
      <c r="F101" s="28">
        <f>COUNTIFS('Test Cases'!$M$5:$M$1000,"*"&amp;A101&amp;"*",'Test Cases'!$Q$5:$Q$1000,"Pass")</f>
        <v/>
      </c>
      <c r="G101" s="28">
        <f>IF(E101&gt;0,"Covered","GAP")</f>
        <v/>
      </c>
      <c r="H101" s="4" t="inlineStr">
        <is>
          <t>RPW-012</t>
        </is>
      </c>
    </row>
    <row r="102" ht="20" customHeight="1">
      <c r="A102" s="27" t="inlineStr">
        <is>
          <t>RPW-12</t>
        </is>
      </c>
      <c r="B102" s="4" t="inlineStr">
        <is>
          <t>Reset password</t>
        </is>
      </c>
      <c r="C102" s="4" t="inlineStr">
        <is>
          <t>Session state and other sessions after reset</t>
        </is>
      </c>
      <c r="D102" s="4" t="inlineStr">
        <is>
          <t>useResetPassword.ts</t>
        </is>
      </c>
      <c r="E102" s="28">
        <f>COUNTIF('Test Cases'!$M$5:$M$1000,"*"&amp;A102&amp;"*")</f>
        <v/>
      </c>
      <c r="F102" s="28">
        <f>COUNTIFS('Test Cases'!$M$5:$M$1000,"*"&amp;A102&amp;"*",'Test Cases'!$Q$5:$Q$1000,"Pass")</f>
        <v/>
      </c>
      <c r="G102" s="28">
        <f>IF(E102&gt;0,"Covered","GAP")</f>
        <v/>
      </c>
      <c r="H102" s="4" t="inlineStr">
        <is>
          <t>RPW-015</t>
        </is>
      </c>
    </row>
    <row r="103" ht="20" customHeight="1">
      <c r="A103" s="27" t="inlineStr">
        <is>
          <t>RPW-13</t>
        </is>
      </c>
      <c r="B103" s="4" t="inlineStr">
        <is>
          <t>Reset password</t>
        </is>
      </c>
      <c r="C103" s="4" t="inlineStr">
        <is>
          <t>Pending state and double-submit protection</t>
        </is>
      </c>
      <c r="D103" s="4" t="inlineStr">
        <is>
          <t>ResetPasswordForm.tsx:207-221</t>
        </is>
      </c>
      <c r="E103" s="28">
        <f>COUNTIF('Test Cases'!$M$5:$M$1000,"*"&amp;A103&amp;"*")</f>
        <v/>
      </c>
      <c r="F103" s="28">
        <f>COUNTIFS('Test Cases'!$M$5:$M$1000,"*"&amp;A103&amp;"*",'Test Cases'!$Q$5:$Q$1000,"Pass")</f>
        <v/>
      </c>
      <c r="G103" s="28">
        <f>IF(E103&gt;0,"Covered","GAP")</f>
        <v/>
      </c>
      <c r="H103" s="4" t="inlineStr">
        <is>
          <t>RPW-016</t>
        </is>
      </c>
    </row>
    <row r="104" ht="20" customHeight="1">
      <c r="A104" s="27" t="inlineStr">
        <is>
          <t>RPW-14</t>
        </is>
      </c>
      <c r="B104" s="4" t="inlineStr">
        <is>
          <t>Reset password</t>
        </is>
      </c>
      <c r="C104" s="4" t="inlineStr">
        <is>
          <t>Maximum password length behaviour</t>
        </is>
      </c>
      <c r="D104" s="4" t="inlineStr">
        <is>
          <t>resetPasswordFn</t>
        </is>
      </c>
      <c r="E104" s="28">
        <f>COUNTIF('Test Cases'!$M$5:$M$1000,"*"&amp;A104&amp;"*")</f>
        <v/>
      </c>
      <c r="F104" s="28">
        <f>COUNTIFS('Test Cases'!$M$5:$M$1000,"*"&amp;A104&amp;"*",'Test Cases'!$Q$5:$Q$1000,"Pass")</f>
        <v/>
      </c>
      <c r="G104" s="28">
        <f>IF(E104&gt;0,"Covered","GAP")</f>
        <v/>
      </c>
      <c r="H104" s="4" t="inlineStr">
        <is>
          <t>RPW-013</t>
        </is>
      </c>
    </row>
    <row r="105" ht="20" customHeight="1">
      <c r="A105" s="27" t="inlineStr">
        <is>
          <t>CPW-01</t>
        </is>
      </c>
      <c r="B105" s="4" t="inlineStr">
        <is>
          <t>Change password</t>
        </is>
      </c>
      <c r="C105" s="4" t="inlineStr">
        <is>
          <t>Current password required</t>
        </is>
      </c>
      <c r="D105" s="4" t="inlineStr">
        <is>
          <t>SettingsPasswordPanel.tsx:26</t>
        </is>
      </c>
      <c r="E105" s="28">
        <f>COUNTIF('Test Cases'!$M$5:$M$1000,"*"&amp;A105&amp;"*")</f>
        <v/>
      </c>
      <c r="F105" s="28">
        <f>COUNTIFS('Test Cases'!$M$5:$M$1000,"*"&amp;A105&amp;"*",'Test Cases'!$Q$5:$Q$1000,"Pass")</f>
        <v/>
      </c>
      <c r="G105" s="28">
        <f>IF(E105&gt;0,"Covered","GAP")</f>
        <v/>
      </c>
      <c r="H105" s="4" t="inlineStr">
        <is>
          <t>CPW-002</t>
        </is>
      </c>
    </row>
    <row r="106" ht="20" customHeight="1">
      <c r="A106" s="27" t="inlineStr">
        <is>
          <t>CPW-02</t>
        </is>
      </c>
      <c r="B106" s="4" t="inlineStr">
        <is>
          <t>Change password</t>
        </is>
      </c>
      <c r="C106" s="4" t="inlineStr">
        <is>
          <t>New password rules (8 + digit)</t>
        </is>
      </c>
      <c r="D106" s="4" t="inlineStr">
        <is>
          <t>SettingsPasswordPanel.tsx:27-30</t>
        </is>
      </c>
      <c r="E106" s="28">
        <f>COUNTIF('Test Cases'!$M$5:$M$1000,"*"&amp;A106&amp;"*")</f>
        <v/>
      </c>
      <c r="F106" s="28">
        <f>COUNTIFS('Test Cases'!$M$5:$M$1000,"*"&amp;A106&amp;"*",'Test Cases'!$Q$5:$Q$1000,"Pass")</f>
        <v/>
      </c>
      <c r="G106" s="28">
        <f>IF(E106&gt;0,"Covered","GAP")</f>
        <v/>
      </c>
      <c r="H106" s="4" t="inlineStr">
        <is>
          <t>CPW-004, CPW-005, CPW-006</t>
        </is>
      </c>
    </row>
    <row r="107" ht="20" customHeight="1">
      <c r="A107" s="27" t="inlineStr">
        <is>
          <t>CPW-03</t>
        </is>
      </c>
      <c r="B107" s="4" t="inlineStr">
        <is>
          <t>Change password</t>
        </is>
      </c>
      <c r="C107" s="4" t="inlineStr">
        <is>
          <t>Confirmation match</t>
        </is>
      </c>
      <c r="D107" s="4" t="inlineStr">
        <is>
          <t>SettingsPasswordPanel.tsx:33-36</t>
        </is>
      </c>
      <c r="E107" s="28">
        <f>COUNTIF('Test Cases'!$M$5:$M$1000,"*"&amp;A107&amp;"*")</f>
        <v/>
      </c>
      <c r="F107" s="28">
        <f>COUNTIFS('Test Cases'!$M$5:$M$1000,"*"&amp;A107&amp;"*",'Test Cases'!$Q$5:$Q$1000,"Pass")</f>
        <v/>
      </c>
      <c r="G107" s="28">
        <f>IF(E107&gt;0,"Covered","GAP")</f>
        <v/>
      </c>
      <c r="H107" s="4" t="inlineStr">
        <is>
          <t>CPW-007</t>
        </is>
      </c>
    </row>
    <row r="108" ht="20" customHeight="1">
      <c r="A108" s="27" t="inlineStr">
        <is>
          <t>CPW-04</t>
        </is>
      </c>
      <c r="B108" s="4" t="inlineStr">
        <is>
          <t>Change password</t>
        </is>
      </c>
      <c r="C108" s="4" t="inlineStr">
        <is>
          <t>New password must differ from current (client)</t>
        </is>
      </c>
      <c r="D108" s="4" t="inlineStr">
        <is>
          <t>SettingsPasswordPanel.tsx:37-40</t>
        </is>
      </c>
      <c r="E108" s="28">
        <f>COUNTIF('Test Cases'!$M$5:$M$1000,"*"&amp;A108&amp;"*")</f>
        <v/>
      </c>
      <c r="F108" s="28">
        <f>COUNTIFS('Test Cases'!$M$5:$M$1000,"*"&amp;A108&amp;"*",'Test Cases'!$Q$5:$Q$1000,"Pass")</f>
        <v/>
      </c>
      <c r="G108" s="28">
        <f>IF(E108&gt;0,"Covered","GAP")</f>
        <v/>
      </c>
      <c r="H108" s="4" t="inlineStr">
        <is>
          <t>CPW-008</t>
        </is>
      </c>
    </row>
    <row r="109" ht="20" customHeight="1">
      <c r="A109" s="27" t="inlineStr">
        <is>
          <t>CPW-05</t>
        </is>
      </c>
      <c r="B109" s="4" t="inlineStr">
        <is>
          <t>Change password</t>
        </is>
      </c>
      <c r="C109" s="4" t="inlineStr">
        <is>
          <t>Wrong current password rejected</t>
        </is>
      </c>
      <c r="D109" s="4" t="inlineStr">
        <is>
          <t>changeMyPasswordFn:111-119</t>
        </is>
      </c>
      <c r="E109" s="28">
        <f>COUNTIF('Test Cases'!$M$5:$M$1000,"*"&amp;A109&amp;"*")</f>
        <v/>
      </c>
      <c r="F109" s="28">
        <f>COUNTIFS('Test Cases'!$M$5:$M$1000,"*"&amp;A109&amp;"*",'Test Cases'!$Q$5:$Q$1000,"Pass")</f>
        <v/>
      </c>
      <c r="G109" s="28">
        <f>IF(E109&gt;0,"Covered","GAP")</f>
        <v/>
      </c>
      <c r="H109" s="4" t="inlineStr">
        <is>
          <t>CPW-003</t>
        </is>
      </c>
    </row>
    <row r="110" ht="20" customHeight="1">
      <c r="A110" s="27" t="inlineStr">
        <is>
          <t>CPW-06</t>
        </is>
      </c>
      <c r="B110" s="4" t="inlineStr">
        <is>
          <t>Change password</t>
        </is>
      </c>
      <c r="C110" s="4" t="inlineStr">
        <is>
          <t>Server-side rule enforcement</t>
        </is>
      </c>
      <c r="D110" s="4" t="inlineStr">
        <is>
          <t>changeMyPasswordFn:99-105</t>
        </is>
      </c>
      <c r="E110" s="28">
        <f>COUNTIF('Test Cases'!$M$5:$M$1000,"*"&amp;A110&amp;"*")</f>
        <v/>
      </c>
      <c r="F110" s="28">
        <f>COUNTIFS('Test Cases'!$M$5:$M$1000,"*"&amp;A110&amp;"*",'Test Cases'!$Q$5:$Q$1000,"Pass")</f>
        <v/>
      </c>
      <c r="G110" s="28">
        <f>IF(E110&gt;0,"Covered","GAP")</f>
        <v/>
      </c>
      <c r="H110" s="4" t="inlineStr">
        <is>
          <t>CPW-009</t>
        </is>
      </c>
    </row>
    <row r="111" ht="20" customHeight="1">
      <c r="A111" s="27" t="inlineStr">
        <is>
          <t>CPW-07</t>
        </is>
      </c>
      <c r="B111" s="4" t="inlineStr">
        <is>
          <t>Change password</t>
        </is>
      </c>
      <c r="C111" s="4" t="inlineStr">
        <is>
          <t>Success keeps the live session</t>
        </is>
      </c>
      <c r="D111" s="4" t="inlineStr">
        <is>
          <t>changeMyPasswordFn:107-136</t>
        </is>
      </c>
      <c r="E111" s="28">
        <f>COUNTIF('Test Cases'!$M$5:$M$1000,"*"&amp;A111&amp;"*")</f>
        <v/>
      </c>
      <c r="F111" s="28">
        <f>COUNTIFS('Test Cases'!$M$5:$M$1000,"*"&amp;A111&amp;"*",'Test Cases'!$Q$5:$Q$1000,"Pass")</f>
        <v/>
      </c>
      <c r="G111" s="28">
        <f>IF(E111&gt;0,"Covered","GAP")</f>
        <v/>
      </c>
      <c r="H111" s="4" t="inlineStr">
        <is>
          <t>CPW-001, CPW-005</t>
        </is>
      </c>
    </row>
    <row r="112" ht="20" customHeight="1">
      <c r="A112" s="27" t="inlineStr">
        <is>
          <t>CPW-08</t>
        </is>
      </c>
      <c r="B112" s="4" t="inlineStr">
        <is>
          <t>Change password</t>
        </is>
      </c>
      <c r="C112" s="4" t="inlineStr">
        <is>
          <t>same_password server fallback</t>
        </is>
      </c>
      <c r="D112" s="4" t="inlineStr">
        <is>
          <t>changeMyPasswordFn:125-131</t>
        </is>
      </c>
      <c r="E112" s="28">
        <f>COUNTIF('Test Cases'!$M$5:$M$1000,"*"&amp;A112&amp;"*")</f>
        <v/>
      </c>
      <c r="F112" s="28">
        <f>COUNTIFS('Test Cases'!$M$5:$M$1000,"*"&amp;A112&amp;"*",'Test Cases'!$Q$5:$Q$1000,"Pass")</f>
        <v/>
      </c>
      <c r="G112" s="28">
        <f>IF(E112&gt;0,"Covered","GAP")</f>
        <v/>
      </c>
      <c r="H112" s="4" t="inlineStr">
        <is>
          <t>CPW-010</t>
        </is>
      </c>
    </row>
    <row r="113" ht="20" customHeight="1">
      <c r="A113" s="27" t="inlineStr">
        <is>
          <t>CPW-09</t>
        </is>
      </c>
      <c r="B113" s="4" t="inlineStr">
        <is>
          <t>Change password</t>
        </is>
      </c>
      <c r="C113" s="4" t="inlineStr">
        <is>
          <t>Account without an email</t>
        </is>
      </c>
      <c r="D113" s="4" t="inlineStr">
        <is>
          <t>changeMyPasswordFn:92-97</t>
        </is>
      </c>
      <c r="E113" s="28">
        <f>COUNTIF('Test Cases'!$M$5:$M$1000,"*"&amp;A113&amp;"*")</f>
        <v/>
      </c>
      <c r="F113" s="28">
        <f>COUNTIFS('Test Cases'!$M$5:$M$1000,"*"&amp;A113&amp;"*",'Test Cases'!$Q$5:$Q$1000,"Pass")</f>
        <v/>
      </c>
      <c r="G113" s="28">
        <f>IF(E113&gt;0,"Covered","GAP")</f>
        <v/>
      </c>
      <c r="H113" s="4" t="inlineStr">
        <is>
          <t>CPW-012</t>
        </is>
      </c>
    </row>
    <row r="114" ht="20" customHeight="1">
      <c r="A114" s="27" t="inlineStr">
        <is>
          <t>CPW-10</t>
        </is>
      </c>
      <c r="B114" s="4" t="inlineStr">
        <is>
          <t>Change password</t>
        </is>
      </c>
      <c r="C114" s="4" t="inlineStr">
        <is>
          <t>Unauthenticated / inactive caller rejected</t>
        </is>
      </c>
      <c r="D114" s="4" t="inlineStr">
        <is>
          <t>requireActiveSession</t>
        </is>
      </c>
      <c r="E114" s="28">
        <f>COUNTIF('Test Cases'!$M$5:$M$1000,"*"&amp;A114&amp;"*")</f>
        <v/>
      </c>
      <c r="F114" s="28">
        <f>COUNTIFS('Test Cases'!$M$5:$M$1000,"*"&amp;A114&amp;"*",'Test Cases'!$Q$5:$Q$1000,"Pass")</f>
        <v/>
      </c>
      <c r="G114" s="28">
        <f>IF(E114&gt;0,"Covered","GAP")</f>
        <v/>
      </c>
      <c r="H114" s="4" t="inlineStr">
        <is>
          <t>CPW-011, CPW-014</t>
        </is>
      </c>
    </row>
    <row r="115" ht="20" customHeight="1">
      <c r="A115" s="27" t="inlineStr">
        <is>
          <t>CPW-11</t>
        </is>
      </c>
      <c r="B115" s="4" t="inlineStr">
        <is>
          <t>Change password</t>
        </is>
      </c>
      <c r="C115" s="4" t="inlineStr">
        <is>
          <t>Repeated wrong current-password attempts</t>
        </is>
      </c>
      <c r="D115" s="4" t="inlineStr">
        <is>
          <t>changeMyPasswordFn:111-119</t>
        </is>
      </c>
      <c r="E115" s="28">
        <f>COUNTIF('Test Cases'!$M$5:$M$1000,"*"&amp;A115&amp;"*")</f>
        <v/>
      </c>
      <c r="F115" s="28">
        <f>COUNTIFS('Test Cases'!$M$5:$M$1000,"*"&amp;A115&amp;"*",'Test Cases'!$Q$5:$Q$1000,"Pass")</f>
        <v/>
      </c>
      <c r="G115" s="28">
        <f>IF(E115&gt;0,"Covered","GAP")</f>
        <v/>
      </c>
      <c r="H115" s="4" t="inlineStr">
        <is>
          <t>CPW-013</t>
        </is>
      </c>
    </row>
    <row r="116" ht="20" customHeight="1">
      <c r="A116" s="27" t="inlineStr">
        <is>
          <t>OAU-01</t>
        </is>
      </c>
      <c r="B116" s="4" t="inlineStr">
        <is>
          <t>OAuth &amp; callback</t>
        </is>
      </c>
      <c r="C116" s="4" t="inlineStr">
        <is>
          <t>Google sign-in / sign-up initiation</t>
        </is>
      </c>
      <c r="D116" s="4" t="inlineStr">
        <is>
          <t>loginWithOAuthFn; useOAuthLogin.ts</t>
        </is>
      </c>
      <c r="E116" s="28">
        <f>COUNTIF('Test Cases'!$M$5:$M$1000,"*"&amp;A116&amp;"*")</f>
        <v/>
      </c>
      <c r="F116" s="28">
        <f>COUNTIFS('Test Cases'!$M$5:$M$1000,"*"&amp;A116&amp;"*",'Test Cases'!$Q$5:$Q$1000,"Pass")</f>
        <v/>
      </c>
      <c r="G116" s="28">
        <f>IF(E116&gt;0,"Covered","GAP")</f>
        <v/>
      </c>
      <c r="H116" s="4" t="inlineStr">
        <is>
          <t>OAU-001, OAU-002</t>
        </is>
      </c>
    </row>
    <row r="117" ht="20" customHeight="1">
      <c r="A117" s="27" t="inlineStr">
        <is>
          <t>OAU-02</t>
        </is>
      </c>
      <c r="B117" s="4" t="inlineStr">
        <is>
          <t>OAuth &amp; callback</t>
        </is>
      </c>
      <c r="C117" s="4" t="inlineStr">
        <is>
          <t>Provider initiation error handling</t>
        </is>
      </c>
      <c r="D117" s="4" t="inlineStr">
        <is>
          <t>loginWithOAuthFn:154-160</t>
        </is>
      </c>
      <c r="E117" s="28">
        <f>COUNTIF('Test Cases'!$M$5:$M$1000,"*"&amp;A117&amp;"*")</f>
        <v/>
      </c>
      <c r="F117" s="28">
        <f>COUNTIFS('Test Cases'!$M$5:$M$1000,"*"&amp;A117&amp;"*",'Test Cases'!$Q$5:$Q$1000,"Pass")</f>
        <v/>
      </c>
      <c r="G117" s="28">
        <f>IF(E117&gt;0,"Covered","GAP")</f>
        <v/>
      </c>
      <c r="H117" s="4" t="inlineStr">
        <is>
          <t>OAU-006</t>
        </is>
      </c>
    </row>
    <row r="118" ht="20" customHeight="1">
      <c r="A118" s="27" t="inlineStr">
        <is>
          <t>OAU-03</t>
        </is>
      </c>
      <c r="B118" s="4" t="inlineStr">
        <is>
          <t>OAuth &amp; callback</t>
        </is>
      </c>
      <c r="C118" s="4" t="inlineStr">
        <is>
          <t>Code exchange success lands on /dashboard</t>
        </is>
      </c>
      <c r="D118" s="4" t="inlineStr">
        <is>
          <t>auth/callback.tsx:56-69</t>
        </is>
      </c>
      <c r="E118" s="28">
        <f>COUNTIF('Test Cases'!$M$5:$M$1000,"*"&amp;A118&amp;"*")</f>
        <v/>
      </c>
      <c r="F118" s="28">
        <f>COUNTIFS('Test Cases'!$M$5:$M$1000,"*"&amp;A118&amp;"*",'Test Cases'!$Q$5:$Q$1000,"Pass")</f>
        <v/>
      </c>
      <c r="G118" s="28">
        <f>IF(E118&gt;0,"Covered","GAP")</f>
        <v/>
      </c>
      <c r="H118" s="4" t="inlineStr">
        <is>
          <t>OAU-001</t>
        </is>
      </c>
    </row>
    <row r="119" ht="20" customHeight="1">
      <c r="A119" s="27" t="inlineStr">
        <is>
          <t>OAU-04</t>
        </is>
      </c>
      <c r="B119" s="4" t="inlineStr">
        <is>
          <t>OAuth &amp; callback</t>
        </is>
      </c>
      <c r="C119" s="4" t="inlineStr">
        <is>
          <t>Invalid, expired or reused code</t>
        </is>
      </c>
      <c r="D119" s="4" t="inlineStr">
        <is>
          <t>auth/callback.tsx:56-69</t>
        </is>
      </c>
      <c r="E119" s="28">
        <f>COUNTIF('Test Cases'!$M$5:$M$1000,"*"&amp;A119&amp;"*")</f>
        <v/>
      </c>
      <c r="F119" s="28">
        <f>COUNTIFS('Test Cases'!$M$5:$M$1000,"*"&amp;A119&amp;"*",'Test Cases'!$Q$5:$Q$1000,"Pass")</f>
        <v/>
      </c>
      <c r="G119" s="28">
        <f>IF(E119&gt;0,"Covered","GAP")</f>
        <v/>
      </c>
      <c r="H119" s="4" t="inlineStr">
        <is>
          <t>OAU-008, OAU-009</t>
        </is>
      </c>
    </row>
    <row r="120" ht="20" customHeight="1">
      <c r="A120" s="27" t="inlineStr">
        <is>
          <t>OAU-05</t>
        </is>
      </c>
      <c r="B120" s="4" t="inlineStr">
        <is>
          <t>OAuth &amp; callback</t>
        </is>
      </c>
      <c r="C120" s="4" t="inlineStr">
        <is>
          <t>token_hash types: invite, signup, recovery, email, email_change</t>
        </is>
      </c>
      <c r="D120" s="4" t="inlineStr">
        <is>
          <t>auth/callback.tsx:12-52</t>
        </is>
      </c>
      <c r="E120" s="28">
        <f>COUNTIF('Test Cases'!$M$5:$M$1000,"*"&amp;A120&amp;"*")</f>
        <v/>
      </c>
      <c r="F120" s="28">
        <f>COUNTIFS('Test Cases'!$M$5:$M$1000,"*"&amp;A120&amp;"*",'Test Cases'!$Q$5:$Q$1000,"Pass")</f>
        <v/>
      </c>
      <c r="G120" s="28">
        <f>IF(E120&gt;0,"Covered","GAP")</f>
        <v/>
      </c>
      <c r="H120" s="4" t="inlineStr">
        <is>
          <t>OAU-011, OAU-012, OAU-013, OAU-014, OAU-015, OAU-017</t>
        </is>
      </c>
    </row>
    <row r="121" ht="20" customHeight="1">
      <c r="A121" s="27" t="inlineStr">
        <is>
          <t>OAU-06</t>
        </is>
      </c>
      <c r="B121" s="4" t="inlineStr">
        <is>
          <t>OAuth &amp; callback</t>
        </is>
      </c>
      <c r="C121" s="4" t="inlineStr">
        <is>
          <t>Missing or invalid params and provider denial</t>
        </is>
      </c>
      <c r="D121" s="4" t="inlineStr">
        <is>
          <t>auth/callback.tsx:70-76</t>
        </is>
      </c>
      <c r="E121" s="28">
        <f>COUNTIF('Test Cases'!$M$5:$M$1000,"*"&amp;A121&amp;"*")</f>
        <v/>
      </c>
      <c r="F121" s="28">
        <f>COUNTIFS('Test Cases'!$M$5:$M$1000,"*"&amp;A121&amp;"*",'Test Cases'!$Q$5:$Q$1000,"Pass")</f>
        <v/>
      </c>
      <c r="G121" s="28">
        <f>IF(E121&gt;0,"Covered","GAP")</f>
        <v/>
      </c>
      <c r="H121" s="4" t="inlineStr">
        <is>
          <t>OAU-005, OAU-010, OAU-011</t>
        </is>
      </c>
    </row>
    <row r="122" ht="20" customHeight="1">
      <c r="A122" s="27" t="inlineStr">
        <is>
          <t>OAU-07</t>
        </is>
      </c>
      <c r="B122" s="4" t="inlineStr">
        <is>
          <t>OAuth &amp; callback</t>
        </is>
      </c>
      <c r="C122" s="4" t="inlineStr">
        <is>
          <t>next= allow-list (/accept-invitation, /reset-password)</t>
        </is>
      </c>
      <c r="D122" s="4" t="inlineStr">
        <is>
          <t>auth/callback.tsx:96-112</t>
        </is>
      </c>
      <c r="E122" s="28">
        <f>COUNTIF('Test Cases'!$M$5:$M$1000,"*"&amp;A122&amp;"*")</f>
        <v/>
      </c>
      <c r="F122" s="28">
        <f>COUNTIFS('Test Cases'!$M$5:$M$1000,"*"&amp;A122&amp;"*",'Test Cases'!$Q$5:$Q$1000,"Pass")</f>
        <v/>
      </c>
      <c r="G122" s="28">
        <f>IF(E122&gt;0,"Covered","GAP")</f>
        <v/>
      </c>
      <c r="H122" s="4" t="inlineStr">
        <is>
          <t>OAU-012, OAU-013, OAU-016</t>
        </is>
      </c>
    </row>
    <row r="123" ht="20" customHeight="1">
      <c r="A123" s="27" t="inlineStr">
        <is>
          <t>OAU-08</t>
        </is>
      </c>
      <c r="B123" s="4" t="inlineStr">
        <is>
          <t>OAuth &amp; callback</t>
        </is>
      </c>
      <c r="C123" s="4" t="inlineStr">
        <is>
          <t>OAuth user with blank names goes to onboarding</t>
        </is>
      </c>
      <c r="D123" s="4" t="inlineStr">
        <is>
          <t>_authed/route.tsx:50-58</t>
        </is>
      </c>
      <c r="E123" s="28">
        <f>COUNTIF('Test Cases'!$M$5:$M$1000,"*"&amp;A123&amp;"*")</f>
        <v/>
      </c>
      <c r="F123" s="28">
        <f>COUNTIFS('Test Cases'!$M$5:$M$1000,"*"&amp;A123&amp;"*",'Test Cases'!$Q$5:$Q$1000,"Pass")</f>
        <v/>
      </c>
      <c r="G123" s="28">
        <f>IF(E123&gt;0,"Covered","GAP")</f>
        <v/>
      </c>
      <c r="H123" s="4" t="inlineStr">
        <is>
          <t>OAU-003</t>
        </is>
      </c>
    </row>
    <row r="124" ht="20" customHeight="1">
      <c r="A124" s="27" t="inlineStr">
        <is>
          <t>OAU-09</t>
        </is>
      </c>
      <c r="B124" s="4" t="inlineStr">
        <is>
          <t>OAuth &amp; callback</t>
        </is>
      </c>
      <c r="C124" s="4" t="inlineStr">
        <is>
          <t>Social sign-in session event</t>
        </is>
      </c>
      <c r="D124" s="4" t="inlineStr">
        <is>
          <t>auth/callback.tsx:83-94</t>
        </is>
      </c>
      <c r="E124" s="28">
        <f>COUNTIF('Test Cases'!$M$5:$M$1000,"*"&amp;A124&amp;"*")</f>
        <v/>
      </c>
      <c r="F124" s="28">
        <f>COUNTIFS('Test Cases'!$M$5:$M$1000,"*"&amp;A124&amp;"*",'Test Cases'!$Q$5:$Q$1000,"Pass")</f>
        <v/>
      </c>
      <c r="G124" s="28">
        <f>IF(E124&gt;0,"Covered","GAP")</f>
        <v/>
      </c>
      <c r="H124" s="4" t="inlineStr">
        <is>
          <t>OAU-001</t>
        </is>
      </c>
    </row>
    <row r="125" ht="20" customHeight="1">
      <c r="A125" s="27" t="inlineStr">
        <is>
          <t>OAU-10</t>
        </is>
      </c>
      <c r="B125" s="4" t="inlineStr">
        <is>
          <t>OAuth &amp; callback</t>
        </is>
      </c>
      <c r="C125" s="4" t="inlineStr">
        <is>
          <t>Callback is never preloaded (single-use token)</t>
        </is>
      </c>
      <c r="D125" s="4" t="inlineStr">
        <is>
          <t>auth/callback.tsx:89-92</t>
        </is>
      </c>
      <c r="E125" s="28">
        <f>COUNTIF('Test Cases'!$M$5:$M$1000,"*"&amp;A125&amp;"*")</f>
        <v/>
      </c>
      <c r="F125" s="28">
        <f>COUNTIFS('Test Cases'!$M$5:$M$1000,"*"&amp;A125&amp;"*",'Test Cases'!$Q$5:$Q$1000,"Pass")</f>
        <v/>
      </c>
      <c r="G125" s="28">
        <f>IF(E125&gt;0,"Covered","GAP")</f>
        <v/>
      </c>
      <c r="H125" s="4" t="inlineStr">
        <is>
          <t>OAU-018</t>
        </is>
      </c>
    </row>
    <row r="126" ht="20" customHeight="1">
      <c r="A126" s="27" t="inlineStr">
        <is>
          <t>OAU-11</t>
        </is>
      </c>
      <c r="B126" s="4" t="inlineStr">
        <is>
          <t>OAuth &amp; callback</t>
        </is>
      </c>
      <c r="C126" s="4" t="inlineStr">
        <is>
          <t>Apple provider typed but not exposed</t>
        </is>
      </c>
      <c r="D126" s="4" t="inlineStr">
        <is>
          <t>loginWithOAuthFn:141</t>
        </is>
      </c>
      <c r="E126" s="28">
        <f>COUNTIF('Test Cases'!$M$5:$M$1000,"*"&amp;A126&amp;"*")</f>
        <v/>
      </c>
      <c r="F126" s="28">
        <f>COUNTIFS('Test Cases'!$M$5:$M$1000,"*"&amp;A126&amp;"*",'Test Cases'!$Q$5:$Q$1000,"Pass")</f>
        <v/>
      </c>
      <c r="G126" s="28">
        <f>IF(E126&gt;0,"Covered","GAP")</f>
        <v/>
      </c>
      <c r="H126" s="4" t="inlineStr">
        <is>
          <t>OAU-020</t>
        </is>
      </c>
    </row>
    <row r="127" ht="20" customHeight="1">
      <c r="A127" s="27" t="inlineStr">
        <is>
          <t>OAU-12</t>
        </is>
      </c>
      <c r="B127" s="4" t="inlineStr">
        <is>
          <t>OAuth &amp; callback</t>
        </is>
      </c>
      <c r="C127" s="4" t="inlineStr">
        <is>
          <t>Linking with an existing email account</t>
        </is>
      </c>
      <c r="D127" s="4" t="inlineStr">
        <is>
          <t>loginWithOAuthFn</t>
        </is>
      </c>
      <c r="E127" s="28">
        <f>COUNTIF('Test Cases'!$M$5:$M$1000,"*"&amp;A127&amp;"*")</f>
        <v/>
      </c>
      <c r="F127" s="28">
        <f>COUNTIFS('Test Cases'!$M$5:$M$1000,"*"&amp;A127&amp;"*",'Test Cases'!$Q$5:$Q$1000,"Pass")</f>
        <v/>
      </c>
      <c r="G127" s="28">
        <f>IF(E127&gt;0,"Covered","GAP")</f>
        <v/>
      </c>
      <c r="H127" s="4" t="inlineStr">
        <is>
          <t>REG-042, FPW-019, OAU-004</t>
        </is>
      </c>
    </row>
    <row r="128" ht="20" customHeight="1">
      <c r="A128" s="27" t="inlineStr">
        <is>
          <t>OAU-13</t>
        </is>
      </c>
      <c r="B128" s="4" t="inlineStr">
        <is>
          <t>OAuth &amp; callback</t>
        </is>
      </c>
      <c r="C128" s="4" t="inlineStr">
        <is>
          <t>Inactive account arriving through the callback</t>
        </is>
      </c>
      <c r="D128" s="4" t="inlineStr">
        <is>
          <t>auth/callback.tsx</t>
        </is>
      </c>
      <c r="E128" s="28">
        <f>COUNTIF('Test Cases'!$M$5:$M$1000,"*"&amp;A128&amp;"*")</f>
        <v/>
      </c>
      <c r="F128" s="28">
        <f>COUNTIFS('Test Cases'!$M$5:$M$1000,"*"&amp;A128&amp;"*",'Test Cases'!$Q$5:$Q$1000,"Pass")</f>
        <v/>
      </c>
      <c r="G128" s="28">
        <f>IF(E128&gt;0,"Covered","GAP")</f>
        <v/>
      </c>
      <c r="H128" s="4" t="inlineStr">
        <is>
          <t>OAU-019</t>
        </is>
      </c>
    </row>
    <row r="129" ht="20" customHeight="1">
      <c r="A129" s="27" t="inlineStr">
        <is>
          <t>OAU-14</t>
        </is>
      </c>
      <c r="B129" s="4" t="inlineStr">
        <is>
          <t>OAuth &amp; callback</t>
        </is>
      </c>
      <c r="C129" s="4" t="inlineStr">
        <is>
          <t>OAuth button double-click protection</t>
        </is>
      </c>
      <c r="D129" s="4" t="inlineStr">
        <is>
          <t>LoginForm.tsx:287-297</t>
        </is>
      </c>
      <c r="E129" s="28">
        <f>COUNTIF('Test Cases'!$M$5:$M$1000,"*"&amp;A129&amp;"*")</f>
        <v/>
      </c>
      <c r="F129" s="28">
        <f>COUNTIFS('Test Cases'!$M$5:$M$1000,"*"&amp;A129&amp;"*",'Test Cases'!$Q$5:$Q$1000,"Pass")</f>
        <v/>
      </c>
      <c r="G129" s="28">
        <f>IF(E129&gt;0,"Covered","GAP")</f>
        <v/>
      </c>
      <c r="H129" s="4" t="inlineStr">
        <is>
          <t>OAU-007</t>
        </is>
      </c>
    </row>
    <row r="130" ht="20" customHeight="1">
      <c r="A130" s="27" t="inlineStr">
        <is>
          <t>SES-01</t>
        </is>
      </c>
      <c r="B130" s="4" t="inlineStr">
        <is>
          <t>Session &amp; access control</t>
        </is>
      </c>
      <c r="C130" s="4" t="inlineStr">
        <is>
          <t>Signed-out access to protected routes redirects to /login</t>
        </is>
      </c>
      <c r="D130" s="4" t="inlineStr">
        <is>
          <t>_authed/route.tsx:46-48</t>
        </is>
      </c>
      <c r="E130" s="28">
        <f>COUNTIF('Test Cases'!$M$5:$M$1000,"*"&amp;A130&amp;"*")</f>
        <v/>
      </c>
      <c r="F130" s="28">
        <f>COUNTIFS('Test Cases'!$M$5:$M$1000,"*"&amp;A130&amp;"*",'Test Cases'!$Q$5:$Q$1000,"Pass")</f>
        <v/>
      </c>
      <c r="G130" s="28">
        <f>IF(E130&gt;0,"Covered","GAP")</f>
        <v/>
      </c>
      <c r="H130" s="4" t="inlineStr">
        <is>
          <t>SES-001, SES-003</t>
        </is>
      </c>
    </row>
    <row r="131" ht="20" customHeight="1">
      <c r="A131" s="27" t="inlineStr">
        <is>
          <t>SES-02</t>
        </is>
      </c>
      <c r="B131" s="4" t="inlineStr">
        <is>
          <t>Session &amp; access control</t>
        </is>
      </c>
      <c r="C131" s="4" t="inlineStr">
        <is>
          <t>Redirect target restored after sign-in</t>
        </is>
      </c>
      <c r="D131" s="4" t="inlineStr">
        <is>
          <t>_authed/route.tsx; useLogin.ts</t>
        </is>
      </c>
      <c r="E131" s="28">
        <f>COUNTIF('Test Cases'!$M$5:$M$1000,"*"&amp;A131&amp;"*")</f>
        <v/>
      </c>
      <c r="F131" s="28">
        <f>COUNTIFS('Test Cases'!$M$5:$M$1000,"*"&amp;A131&amp;"*",'Test Cases'!$Q$5:$Q$1000,"Pass")</f>
        <v/>
      </c>
      <c r="G131" s="28">
        <f>IF(E131&gt;0,"Covered","GAP")</f>
        <v/>
      </c>
      <c r="H131" s="4" t="inlineStr">
        <is>
          <t>LGN-006, SES-002</t>
        </is>
      </c>
    </row>
    <row r="132" ht="20" customHeight="1">
      <c r="A132" s="27" t="inlineStr">
        <is>
          <t>SES-03</t>
        </is>
      </c>
      <c r="B132" s="4" t="inlineStr">
        <is>
          <t>Session &amp; access control</t>
        </is>
      </c>
      <c r="C132" s="4" t="inlineStr">
        <is>
          <t>Inactive accounts blocked by guard, middleware and server functions</t>
        </is>
      </c>
      <c r="D132" s="4" t="inlineStr">
        <is>
          <t>server/auth.ts:95; middleware/auth.ts:31</t>
        </is>
      </c>
      <c r="E132" s="28">
        <f>COUNTIF('Test Cases'!$M$5:$M$1000,"*"&amp;A132&amp;"*")</f>
        <v/>
      </c>
      <c r="F132" s="28">
        <f>COUNTIFS('Test Cases'!$M$5:$M$1000,"*"&amp;A132&amp;"*",'Test Cases'!$Q$5:$Q$1000,"Pass")</f>
        <v/>
      </c>
      <c r="G132" s="28">
        <f>IF(E132&gt;0,"Covered","GAP")</f>
        <v/>
      </c>
      <c r="H132" s="4" t="inlineStr">
        <is>
          <t>CPW-014, OAU-019, SES-011, SES-032</t>
        </is>
      </c>
    </row>
    <row r="133" ht="20" customHeight="1">
      <c r="A133" s="27" t="inlineStr">
        <is>
          <t>SES-04</t>
        </is>
      </c>
      <c r="B133" s="4" t="inlineStr">
        <is>
          <t>Session &amp; access control</t>
        </is>
      </c>
      <c r="C133" s="4" t="inlineStr">
        <is>
          <t>Admin-revoked session (iat &lt; sessions_revoked_at)</t>
        </is>
      </c>
      <c r="D133" s="4" t="inlineStr">
        <is>
          <t>isSessionRevoked</t>
        </is>
      </c>
      <c r="E133" s="28">
        <f>COUNTIF('Test Cases'!$M$5:$M$1000,"*"&amp;A133&amp;"*")</f>
        <v/>
      </c>
      <c r="F133" s="28">
        <f>COUNTIFS('Test Cases'!$M$5:$M$1000,"*"&amp;A133&amp;"*",'Test Cases'!$Q$5:$Q$1000,"Pass")</f>
        <v/>
      </c>
      <c r="G133" s="28">
        <f>IF(E133&gt;0,"Covered","GAP")</f>
        <v/>
      </c>
      <c r="H133" s="4" t="inlineStr">
        <is>
          <t>SES-012, SES-014</t>
        </is>
      </c>
    </row>
    <row r="134" ht="20" customHeight="1">
      <c r="A134" s="27" t="inlineStr">
        <is>
          <t>SES-05</t>
        </is>
      </c>
      <c r="B134" s="4" t="inlineStr">
        <is>
          <t>Session &amp; access control</t>
        </is>
      </c>
      <c r="C134" s="4" t="inlineStr">
        <is>
          <t>Revocation boundary (iat == revoked_at)</t>
        </is>
      </c>
      <c r="D134" s="4" t="inlineStr">
        <is>
          <t>isSessionRevoked:68</t>
        </is>
      </c>
      <c r="E134" s="28">
        <f>COUNTIF('Test Cases'!$M$5:$M$1000,"*"&amp;A134&amp;"*")</f>
        <v/>
      </c>
      <c r="F134" s="28">
        <f>COUNTIFS('Test Cases'!$M$5:$M$1000,"*"&amp;A134&amp;"*",'Test Cases'!$Q$5:$Q$1000,"Pass")</f>
        <v/>
      </c>
      <c r="G134" s="28">
        <f>IF(E134&gt;0,"Covered","GAP")</f>
        <v/>
      </c>
      <c r="H134" s="4" t="inlineStr">
        <is>
          <t>SES-013, SES-014, SES-015</t>
        </is>
      </c>
    </row>
    <row r="135" ht="20" customHeight="1">
      <c r="A135" s="27" t="inlineStr">
        <is>
          <t>SES-06</t>
        </is>
      </c>
      <c r="B135" s="4" t="inlineStr">
        <is>
          <t>Session &amp; access control</t>
        </is>
      </c>
      <c r="C135" s="4" t="inlineStr">
        <is>
          <t>Missing iat with a revocation marker</t>
        </is>
      </c>
      <c r="D135" s="4" t="inlineStr">
        <is>
          <t>isSessionRevoked:67</t>
        </is>
      </c>
      <c r="E135" s="28">
        <f>COUNTIF('Test Cases'!$M$5:$M$1000,"*"&amp;A135&amp;"*")</f>
        <v/>
      </c>
      <c r="F135" s="28">
        <f>COUNTIFS('Test Cases'!$M$5:$M$1000,"*"&amp;A135&amp;"*",'Test Cases'!$Q$5:$Q$1000,"Pass")</f>
        <v/>
      </c>
      <c r="G135" s="28">
        <f>IF(E135&gt;0,"Covered","GAP")</f>
        <v/>
      </c>
      <c r="H135" s="4" t="inlineStr">
        <is>
          <t>SES-016</t>
        </is>
      </c>
    </row>
    <row r="136" ht="20" customHeight="1">
      <c r="A136" s="27" t="inlineStr">
        <is>
          <t>SES-07</t>
        </is>
      </c>
      <c r="B136" s="4" t="inlineStr">
        <is>
          <t>Session &amp; access control</t>
        </is>
      </c>
      <c r="C136" s="4" t="inlineStr">
        <is>
          <t>No revocation marker</t>
        </is>
      </c>
      <c r="D136" s="4" t="inlineStr">
        <is>
          <t>isSessionRevoked:66</t>
        </is>
      </c>
      <c r="E136" s="28">
        <f>COUNTIF('Test Cases'!$M$5:$M$1000,"*"&amp;A136&amp;"*")</f>
        <v/>
      </c>
      <c r="F136" s="28">
        <f>COUNTIFS('Test Cases'!$M$5:$M$1000,"*"&amp;A136&amp;"*",'Test Cases'!$Q$5:$Q$1000,"Pass")</f>
        <v/>
      </c>
      <c r="G136" s="28">
        <f>IF(E136&gt;0,"Covered","GAP")</f>
        <v/>
      </c>
      <c r="H136" s="4" t="inlineStr">
        <is>
          <t>SES-017</t>
        </is>
      </c>
    </row>
    <row r="137" ht="20" customHeight="1">
      <c r="A137" s="27" t="inlineStr">
        <is>
          <t>SES-08</t>
        </is>
      </c>
      <c r="B137" s="4" t="inlineStr">
        <is>
          <t>Session &amp; access control</t>
        </is>
      </c>
      <c r="C137" s="4" t="inlineStr">
        <is>
          <t>Profile row missing</t>
        </is>
      </c>
      <c r="D137" s="4" t="inlineStr">
        <is>
          <t>server/auth.ts:88; middleware/auth.ts:21</t>
        </is>
      </c>
      <c r="E137" s="28">
        <f>COUNTIF('Test Cases'!$M$5:$M$1000,"*"&amp;A137&amp;"*")</f>
        <v/>
      </c>
      <c r="F137" s="28">
        <f>COUNTIFS('Test Cases'!$M$5:$M$1000,"*"&amp;A137&amp;"*",'Test Cases'!$Q$5:$Q$1000,"Pass")</f>
        <v/>
      </c>
      <c r="G137" s="28">
        <f>IF(E137&gt;0,"Covered","GAP")</f>
        <v/>
      </c>
      <c r="H137" s="4" t="inlineStr">
        <is>
          <t>LGN-023, SES-018</t>
        </is>
      </c>
    </row>
    <row r="138" ht="20" customHeight="1">
      <c r="A138" s="27" t="inlineStr">
        <is>
          <t>SES-09</t>
        </is>
      </c>
      <c r="B138" s="4" t="inlineStr">
        <is>
          <t>Session &amp; access control</t>
        </is>
      </c>
      <c r="C138" s="4" t="inlineStr">
        <is>
          <t>Tampered / expired token handling</t>
        </is>
      </c>
      <c r="D138" s="4" t="inlineStr">
        <is>
          <t>getVerifiedSessionUser</t>
        </is>
      </c>
      <c r="E138" s="28">
        <f>COUNTIF('Test Cases'!$M$5:$M$1000,"*"&amp;A138&amp;"*")</f>
        <v/>
      </c>
      <c r="F138" s="28">
        <f>COUNTIFS('Test Cases'!$M$5:$M$1000,"*"&amp;A138&amp;"*",'Test Cases'!$Q$5:$Q$1000,"Pass")</f>
        <v/>
      </c>
      <c r="G138" s="28">
        <f>IF(E138&gt;0,"Covered","GAP")</f>
        <v/>
      </c>
      <c r="H138" s="4" t="inlineStr">
        <is>
          <t>SES-019, SES-021</t>
        </is>
      </c>
    </row>
    <row r="139" ht="20" customHeight="1">
      <c r="A139" s="27" t="inlineStr">
        <is>
          <t>SES-10</t>
        </is>
      </c>
      <c r="B139" s="4" t="inlineStr">
        <is>
          <t>Session &amp; access control</t>
        </is>
      </c>
      <c r="C139" s="4" t="inlineStr">
        <is>
          <t>Identity cache TTL (30 s) and explicit clearing</t>
        </is>
      </c>
      <c r="D139" s="4" t="inlineStr">
        <is>
          <t>current-user.ts</t>
        </is>
      </c>
      <c r="E139" s="28">
        <f>COUNTIF('Test Cases'!$M$5:$M$1000,"*"&amp;A139&amp;"*")</f>
        <v/>
      </c>
      <c r="F139" s="28">
        <f>COUNTIFS('Test Cases'!$M$5:$M$1000,"*"&amp;A139&amp;"*",'Test Cases'!$Q$5:$Q$1000,"Pass")</f>
        <v/>
      </c>
      <c r="G139" s="28">
        <f>IF(E139&gt;0,"Covered","GAP")</f>
        <v/>
      </c>
      <c r="H139" s="4" t="inlineStr">
        <is>
          <t>SES-011, SES-022, OUT-007</t>
        </is>
      </c>
    </row>
    <row r="140" ht="20" customHeight="1">
      <c r="A140" s="27" t="inlineStr">
        <is>
          <t>SES-11</t>
        </is>
      </c>
      <c r="B140" s="4" t="inlineStr">
        <is>
          <t>Session &amp; access control</t>
        </is>
      </c>
      <c r="C140" s="4" t="inlineStr">
        <is>
          <t>Server-side cache isolation across users</t>
        </is>
      </c>
      <c r="D140" s="4" t="inlineStr">
        <is>
          <t>current-user.ts:36</t>
        </is>
      </c>
      <c r="E140" s="28">
        <f>COUNTIF('Test Cases'!$M$5:$M$1000,"*"&amp;A140&amp;"*")</f>
        <v/>
      </c>
      <c r="F140" s="28">
        <f>COUNTIFS('Test Cases'!$M$5:$M$1000,"*"&amp;A140&amp;"*",'Test Cases'!$Q$5:$Q$1000,"Pass")</f>
        <v/>
      </c>
      <c r="G140" s="28">
        <f>IF(E140&gt;0,"Covered","GAP")</f>
        <v/>
      </c>
      <c r="H140" s="4" t="inlineStr">
        <is>
          <t>SES-023</t>
        </is>
      </c>
    </row>
    <row r="141" ht="20" customHeight="1">
      <c r="A141" s="27" t="inlineStr">
        <is>
          <t>SES-12</t>
        </is>
      </c>
      <c r="B141" s="4" t="inlineStr">
        <is>
          <t>Session &amp; access control</t>
        </is>
      </c>
      <c r="C141" s="4" t="inlineStr">
        <is>
          <t>Blank-name onboarding gate</t>
        </is>
      </c>
      <c r="D141" s="4" t="inlineStr">
        <is>
          <t>_authed/route.tsx:50-58</t>
        </is>
      </c>
      <c r="E141" s="28">
        <f>COUNTIF('Test Cases'!$M$5:$M$1000,"*"&amp;A141&amp;"*")</f>
        <v/>
      </c>
      <c r="F141" s="28">
        <f>COUNTIFS('Test Cases'!$M$5:$M$1000,"*"&amp;A141&amp;"*",'Test Cases'!$Q$5:$Q$1000,"Pass")</f>
        <v/>
      </c>
      <c r="G141" s="28">
        <f>IF(E141&gt;0,"Covered","GAP")</f>
        <v/>
      </c>
      <c r="H141" s="4" t="inlineStr">
        <is>
          <t>OAU-003, SES-024, SES-025</t>
        </is>
      </c>
    </row>
    <row r="142" ht="20" customHeight="1">
      <c r="A142" s="27" t="inlineStr">
        <is>
          <t>SES-13</t>
        </is>
      </c>
      <c r="B142" s="4" t="inlineStr">
        <is>
          <t>Session &amp; access control</t>
        </is>
      </c>
      <c r="C142" s="4" t="inlineStr">
        <is>
          <t>Onboarding bypass when names exist</t>
        </is>
      </c>
      <c r="D142" s="4" t="inlineStr">
        <is>
          <t>onboarding.tsx</t>
        </is>
      </c>
      <c r="E142" s="28">
        <f>COUNTIF('Test Cases'!$M$5:$M$1000,"*"&amp;A142&amp;"*")</f>
        <v/>
      </c>
      <c r="F142" s="28">
        <f>COUNTIFS('Test Cases'!$M$5:$M$1000,"*"&amp;A142&amp;"*",'Test Cases'!$Q$5:$Q$1000,"Pass")</f>
        <v/>
      </c>
      <c r="G142" s="28">
        <f>IF(E142&gt;0,"Covered","GAP")</f>
        <v/>
      </c>
      <c r="H142" s="4" t="inlineStr">
        <is>
          <t>SES-026</t>
        </is>
      </c>
    </row>
    <row r="143" ht="20" customHeight="1">
      <c r="A143" s="27" t="inlineStr">
        <is>
          <t>SES-14</t>
        </is>
      </c>
      <c r="B143" s="4" t="inlineStr">
        <is>
          <t>Session &amp; access control</t>
        </is>
      </c>
      <c r="C143" s="4" t="inlineStr">
        <is>
          <t>Public route allow-list</t>
        </is>
      </c>
      <c r="D143" s="4" t="inlineStr">
        <is>
          <t>__root.tsx:24-36</t>
        </is>
      </c>
      <c r="E143" s="28">
        <f>COUNTIF('Test Cases'!$M$5:$M$1000,"*"&amp;A143&amp;"*")</f>
        <v/>
      </c>
      <c r="F143" s="28">
        <f>COUNTIFS('Test Cases'!$M$5:$M$1000,"*"&amp;A143&amp;"*",'Test Cases'!$Q$5:$Q$1000,"Pass")</f>
        <v/>
      </c>
      <c r="G143" s="28">
        <f>IF(E143&gt;0,"Covered","GAP")</f>
        <v/>
      </c>
      <c r="H143" s="4" t="inlineStr">
        <is>
          <t>SES-004</t>
        </is>
      </c>
    </row>
    <row r="144" ht="20" customHeight="1">
      <c r="A144" s="27" t="inlineStr">
        <is>
          <t>SES-15</t>
        </is>
      </c>
      <c r="B144" s="4" t="inlineStr">
        <is>
          <t>Session &amp; access control</t>
        </is>
      </c>
      <c r="C144" s="4" t="inlineStr">
        <is>
          <t>Role-based dashboard routing</t>
        </is>
      </c>
      <c r="D144" s="4" t="inlineStr">
        <is>
          <t>dashboard.tsx</t>
        </is>
      </c>
      <c r="E144" s="28">
        <f>COUNTIF('Test Cases'!$M$5:$M$1000,"*"&amp;A144&amp;"*")</f>
        <v/>
      </c>
      <c r="F144" s="28">
        <f>COUNTIFS('Test Cases'!$M$5:$M$1000,"*"&amp;A144&amp;"*",'Test Cases'!$Q$5:$Q$1000,"Pass")</f>
        <v/>
      </c>
      <c r="G144" s="28">
        <f>IF(E144&gt;0,"Covered","GAP")</f>
        <v/>
      </c>
      <c r="H144" s="4" t="inlineStr">
        <is>
          <t>SES-009, SES-033</t>
        </is>
      </c>
    </row>
    <row r="145" ht="20" customHeight="1">
      <c r="A145" s="27" t="inlineStr">
        <is>
          <t>SES-16</t>
        </is>
      </c>
      <c r="B145" s="4" t="inlineStr">
        <is>
          <t>Session &amp; access control</t>
        </is>
      </c>
      <c r="C145" s="4" t="inlineStr">
        <is>
          <t>rbacMiddleware rejects unauthenticated calls</t>
        </is>
      </c>
      <c r="D145" s="4" t="inlineStr">
        <is>
          <t>middleware/auth.ts:17</t>
        </is>
      </c>
      <c r="E145" s="28">
        <f>COUNTIF('Test Cases'!$M$5:$M$1000,"*"&amp;A145&amp;"*")</f>
        <v/>
      </c>
      <c r="F145" s="28">
        <f>COUNTIFS('Test Cases'!$M$5:$M$1000,"*"&amp;A145&amp;"*",'Test Cases'!$Q$5:$Q$1000,"Pass")</f>
        <v/>
      </c>
      <c r="G145" s="28">
        <f>IF(E145&gt;0,"Covered","GAP")</f>
        <v/>
      </c>
      <c r="H145" s="4" t="inlineStr">
        <is>
          <t>SES-030</t>
        </is>
      </c>
    </row>
    <row r="146" ht="20" customHeight="1">
      <c r="A146" s="27" t="inlineStr">
        <is>
          <t>SES-17</t>
        </is>
      </c>
      <c r="B146" s="4" t="inlineStr">
        <is>
          <t>Session &amp; access control</t>
        </is>
      </c>
      <c r="C146" s="4" t="inlineStr">
        <is>
          <t>requirePermission rejects missing permission</t>
        </is>
      </c>
      <c r="D146" s="4" t="inlineStr">
        <is>
          <t>middleware/auth.ts:51-59</t>
        </is>
      </c>
      <c r="E146" s="28">
        <f>COUNTIF('Test Cases'!$M$5:$M$1000,"*"&amp;A146&amp;"*")</f>
        <v/>
      </c>
      <c r="F146" s="28">
        <f>COUNTIFS('Test Cases'!$M$5:$M$1000,"*"&amp;A146&amp;"*",'Test Cases'!$Q$5:$Q$1000,"Pass")</f>
        <v/>
      </c>
      <c r="G146" s="28">
        <f>IF(E146&gt;0,"Covered","GAP")</f>
        <v/>
      </c>
      <c r="H146" s="4" t="inlineStr">
        <is>
          <t>SES-031</t>
        </is>
      </c>
    </row>
    <row r="147" ht="20" customHeight="1">
      <c r="A147" s="27" t="inlineStr">
        <is>
          <t>SES-18</t>
        </is>
      </c>
      <c r="B147" s="4" t="inlineStr">
        <is>
          <t>Session &amp; access control</t>
        </is>
      </c>
      <c r="C147" s="4" t="inlineStr">
        <is>
          <t>Signed-in user opening /login, /signup, /forgot-password</t>
        </is>
      </c>
      <c r="D147" s="4" t="inlineStr">
        <is>
          <t>__root.tsx:81-84</t>
        </is>
      </c>
      <c r="E147" s="28">
        <f>COUNTIF('Test Cases'!$M$5:$M$1000,"*"&amp;A147&amp;"*")</f>
        <v/>
      </c>
      <c r="F147" s="28">
        <f>COUNTIFS('Test Cases'!$M$5:$M$1000,"*"&amp;A147&amp;"*",'Test Cases'!$Q$5:$Q$1000,"Pass")</f>
        <v/>
      </c>
      <c r="G147" s="28">
        <f>IF(E147&gt;0,"Covered","GAP")</f>
        <v/>
      </c>
      <c r="H147" s="4" t="inlineStr">
        <is>
          <t>SES-027</t>
        </is>
      </c>
    </row>
    <row r="148" ht="20" customHeight="1">
      <c r="A148" s="27" t="inlineStr">
        <is>
          <t>SES-19</t>
        </is>
      </c>
      <c r="B148" s="4" t="inlineStr">
        <is>
          <t>Session &amp; access control</t>
        </is>
      </c>
      <c r="C148" s="4" t="inlineStr">
        <is>
          <t>Session persistence on reload and new tab</t>
        </is>
      </c>
      <c r="D148" s="4" t="inlineStr">
        <is>
          <t>__root.tsx</t>
        </is>
      </c>
      <c r="E148" s="28">
        <f>COUNTIF('Test Cases'!$M$5:$M$1000,"*"&amp;A148&amp;"*")</f>
        <v/>
      </c>
      <c r="F148" s="28">
        <f>COUNTIFS('Test Cases'!$M$5:$M$1000,"*"&amp;A148&amp;"*",'Test Cases'!$Q$5:$Q$1000,"Pass")</f>
        <v/>
      </c>
      <c r="G148" s="28">
        <f>IF(E148&gt;0,"Covered","GAP")</f>
        <v/>
      </c>
      <c r="H148" s="4" t="inlineStr">
        <is>
          <t>SES-028</t>
        </is>
      </c>
    </row>
    <row r="149" ht="20" customHeight="1">
      <c r="A149" s="27" t="inlineStr">
        <is>
          <t>SES-20</t>
        </is>
      </c>
      <c r="B149" s="4" t="inlineStr">
        <is>
          <t>Session &amp; access control</t>
        </is>
      </c>
      <c r="C149" s="4" t="inlineStr">
        <is>
          <t>Multi-tab sign-out propagation</t>
        </is>
      </c>
      <c r="D149" s="4" t="inlineStr">
        <is>
          <t>server/auth.ts</t>
        </is>
      </c>
      <c r="E149" s="28">
        <f>COUNTIF('Test Cases'!$M$5:$M$1000,"*"&amp;A149&amp;"*")</f>
        <v/>
      </c>
      <c r="F149" s="28">
        <f>COUNTIFS('Test Cases'!$M$5:$M$1000,"*"&amp;A149&amp;"*",'Test Cases'!$Q$5:$Q$1000,"Pass")</f>
        <v/>
      </c>
      <c r="G149" s="28">
        <f>IF(E149&gt;0,"Covered","GAP")</f>
        <v/>
      </c>
      <c r="H149" s="4" t="inlineStr">
        <is>
          <t>SES-029</t>
        </is>
      </c>
    </row>
    <row r="150" ht="20" customHeight="1">
      <c r="A150" s="27" t="inlineStr">
        <is>
          <t>SES-21</t>
        </is>
      </c>
      <c r="B150" s="4" t="inlineStr">
        <is>
          <t>Session &amp; access control</t>
        </is>
      </c>
      <c r="C150" s="4" t="inlineStr">
        <is>
          <t>Cross-role route access matrix</t>
        </is>
      </c>
      <c r="D150" s="4" t="inlineStr">
        <is>
          <t>admin/*.tsx; system-admin/*.tsx</t>
        </is>
      </c>
      <c r="E150" s="28">
        <f>COUNTIF('Test Cases'!$M$5:$M$1000,"*"&amp;A150&amp;"*")</f>
        <v/>
      </c>
      <c r="F150" s="28">
        <f>COUNTIFS('Test Cases'!$M$5:$M$1000,"*"&amp;A150&amp;"*",'Test Cases'!$Q$5:$Q$1000,"Pass")</f>
        <v/>
      </c>
      <c r="G150" s="28">
        <f>IF(E150&gt;0,"Covered","GAP")</f>
        <v/>
      </c>
      <c r="H150" s="4" t="inlineStr">
        <is>
          <t>LGN-030, SES-005, SES-006, SES-007, SES-008, SES-009</t>
        </is>
      </c>
    </row>
    <row r="151" ht="20" customHeight="1">
      <c r="A151" s="27" t="inlineStr">
        <is>
          <t>SES-22</t>
        </is>
      </c>
      <c r="B151" s="4" t="inlineStr">
        <is>
          <t>Session &amp; access control</t>
        </is>
      </c>
      <c r="C151" s="4" t="inlineStr">
        <is>
          <t>Guards that throw instead of redirect</t>
        </is>
      </c>
      <c r="D151" s="4" t="inlineStr">
        <is>
          <t>my-requests/index.tsx:10</t>
        </is>
      </c>
      <c r="E151" s="28">
        <f>COUNTIF('Test Cases'!$M$5:$M$1000,"*"&amp;A151&amp;"*")</f>
        <v/>
      </c>
      <c r="F151" s="28">
        <f>COUNTIFS('Test Cases'!$M$5:$M$1000,"*"&amp;A151&amp;"*",'Test Cases'!$Q$5:$Q$1000,"Pass")</f>
        <v/>
      </c>
      <c r="G151" s="28">
        <f>IF(E151&gt;0,"Covered","GAP")</f>
        <v/>
      </c>
      <c r="H151" s="4" t="inlineStr">
        <is>
          <t>SES-010</t>
        </is>
      </c>
    </row>
    <row r="152" ht="20" customHeight="1">
      <c r="A152" s="27" t="inlineStr">
        <is>
          <t>SES-23</t>
        </is>
      </c>
      <c r="B152" s="4" t="inlineStr">
        <is>
          <t>Session &amp; access control</t>
        </is>
      </c>
      <c r="C152" s="4" t="inlineStr">
        <is>
          <t>Token refresh and refresh-token expiry</t>
        </is>
      </c>
      <c r="D152" s="4" t="inlineStr">
        <is>
          <t>utils/supabase</t>
        </is>
      </c>
      <c r="E152" s="28">
        <f>COUNTIF('Test Cases'!$M$5:$M$1000,"*"&amp;A152&amp;"*")</f>
        <v/>
      </c>
      <c r="F152" s="28">
        <f>COUNTIFS('Test Cases'!$M$5:$M$1000,"*"&amp;A152&amp;"*",'Test Cases'!$Q$5:$Q$1000,"Pass")</f>
        <v/>
      </c>
      <c r="G152" s="28">
        <f>IF(E152&gt;0,"Covered","GAP")</f>
        <v/>
      </c>
      <c r="H152" s="4" t="inlineStr">
        <is>
          <t>SES-020, SES-021</t>
        </is>
      </c>
    </row>
    <row r="153" ht="20" customHeight="1">
      <c r="A153" s="27" t="inlineStr">
        <is>
          <t>OUT-01</t>
        </is>
      </c>
      <c r="B153" s="4" t="inlineStr">
        <is>
          <t>Logout</t>
        </is>
      </c>
      <c r="C153" s="4" t="inlineStr">
        <is>
          <t>Sign-out ends the session and redirects to /login</t>
        </is>
      </c>
      <c r="D153" s="4" t="inlineStr">
        <is>
          <t>routes/logout.tsx</t>
        </is>
      </c>
      <c r="E153" s="28">
        <f>COUNTIF('Test Cases'!$M$5:$M$1000,"*"&amp;A153&amp;"*")</f>
        <v/>
      </c>
      <c r="F153" s="28">
        <f>COUNTIFS('Test Cases'!$M$5:$M$1000,"*"&amp;A153&amp;"*",'Test Cases'!$Q$5:$Q$1000,"Pass")</f>
        <v/>
      </c>
      <c r="G153" s="28">
        <f>IF(E153&gt;0,"Covered","GAP")</f>
        <v/>
      </c>
      <c r="H153" s="4" t="inlineStr">
        <is>
          <t>OUT-001</t>
        </is>
      </c>
    </row>
    <row r="154" ht="20" customHeight="1">
      <c r="A154" s="27" t="inlineStr">
        <is>
          <t>OUT-02</t>
        </is>
      </c>
      <c r="B154" s="4" t="inlineStr">
        <is>
          <t>Logout</t>
        </is>
      </c>
      <c r="C154" s="4" t="inlineStr">
        <is>
          <t>Identity cache cleared on sign-out</t>
        </is>
      </c>
      <c r="D154" s="4" t="inlineStr">
        <is>
          <t>routes/logout.tsx:24-27</t>
        </is>
      </c>
      <c r="E154" s="28">
        <f>COUNTIF('Test Cases'!$M$5:$M$1000,"*"&amp;A154&amp;"*")</f>
        <v/>
      </c>
      <c r="F154" s="28">
        <f>COUNTIFS('Test Cases'!$M$5:$M$1000,"*"&amp;A154&amp;"*",'Test Cases'!$Q$5:$Q$1000,"Pass")</f>
        <v/>
      </c>
      <c r="G154" s="28">
        <f>IF(E154&gt;0,"Covered","GAP")</f>
        <v/>
      </c>
      <c r="H154" s="4" t="inlineStr">
        <is>
          <t>SES-022, OUT-001</t>
        </is>
      </c>
    </row>
    <row r="155" ht="20" customHeight="1">
      <c r="A155" s="27" t="inlineStr">
        <is>
          <t>OUT-03</t>
        </is>
      </c>
      <c r="B155" s="4" t="inlineStr">
        <is>
          <t>Logout</t>
        </is>
      </c>
      <c r="C155" s="4" t="inlineStr">
        <is>
          <t>Back-button after sign-out</t>
        </is>
      </c>
      <c r="D155" s="4" t="inlineStr">
        <is>
          <t>_authed/route.tsx</t>
        </is>
      </c>
      <c r="E155" s="28">
        <f>COUNTIF('Test Cases'!$M$5:$M$1000,"*"&amp;A155&amp;"*")</f>
        <v/>
      </c>
      <c r="F155" s="28">
        <f>COUNTIFS('Test Cases'!$M$5:$M$1000,"*"&amp;A155&amp;"*",'Test Cases'!$Q$5:$Q$1000,"Pass")</f>
        <v/>
      </c>
      <c r="G155" s="28">
        <f>IF(E155&gt;0,"Covered","GAP")</f>
        <v/>
      </c>
      <c r="H155" s="4" t="inlineStr">
        <is>
          <t>OUT-002</t>
        </is>
      </c>
    </row>
    <row r="156" ht="20" customHeight="1">
      <c r="A156" s="27" t="inlineStr">
        <is>
          <t>OUT-04</t>
        </is>
      </c>
      <c r="B156" s="4" t="inlineStr">
        <is>
          <t>Logout</t>
        </is>
      </c>
      <c r="C156" s="4" t="inlineStr">
        <is>
          <t>Sign-out while already signed out</t>
        </is>
      </c>
      <c r="D156" s="4" t="inlineStr">
        <is>
          <t>routes/logout.tsx</t>
        </is>
      </c>
      <c r="E156" s="28">
        <f>COUNTIF('Test Cases'!$M$5:$M$1000,"*"&amp;A156&amp;"*")</f>
        <v/>
      </c>
      <c r="F156" s="28">
        <f>COUNTIFS('Test Cases'!$M$5:$M$1000,"*"&amp;A156&amp;"*",'Test Cases'!$Q$5:$Q$1000,"Pass")</f>
        <v/>
      </c>
      <c r="G156" s="28">
        <f>IF(E156&gt;0,"Covered","GAP")</f>
        <v/>
      </c>
      <c r="H156" s="4" t="inlineStr">
        <is>
          <t>OUT-003</t>
        </is>
      </c>
    </row>
    <row r="157" ht="20" customHeight="1">
      <c r="A157" s="27" t="inlineStr">
        <is>
          <t>OUT-05</t>
        </is>
      </c>
      <c r="B157" s="4" t="inlineStr">
        <is>
          <t>Logout</t>
        </is>
      </c>
      <c r="C157" s="4" t="inlineStr">
        <is>
          <t>signOut error does not block the redirect</t>
        </is>
      </c>
      <c r="D157" s="4" t="inlineStr">
        <is>
          <t>routes/logout.tsx:9-15</t>
        </is>
      </c>
      <c r="E157" s="28">
        <f>COUNTIF('Test Cases'!$M$5:$M$1000,"*"&amp;A157&amp;"*")</f>
        <v/>
      </c>
      <c r="F157" s="28">
        <f>COUNTIFS('Test Cases'!$M$5:$M$1000,"*"&amp;A157&amp;"*",'Test Cases'!$Q$5:$Q$1000,"Pass")</f>
        <v/>
      </c>
      <c r="G157" s="28">
        <f>IF(E157&gt;0,"Covered","GAP")</f>
        <v/>
      </c>
      <c r="H157" s="4" t="inlineStr">
        <is>
          <t>OUT-004</t>
        </is>
      </c>
    </row>
    <row r="158" ht="20" customHeight="1">
      <c r="A158" s="27" t="inlineStr">
        <is>
          <t>OUT-06</t>
        </is>
      </c>
      <c r="B158" s="4" t="inlineStr">
        <is>
          <t>Logout</t>
        </is>
      </c>
      <c r="C158" s="4" t="inlineStr">
        <is>
          <t>Access-token replay after sign-out</t>
        </is>
      </c>
      <c r="D158" s="4" t="inlineStr">
        <is>
          <t>getVerifiedSessionUser</t>
        </is>
      </c>
      <c r="E158" s="28">
        <f>COUNTIF('Test Cases'!$M$5:$M$1000,"*"&amp;A158&amp;"*")</f>
        <v/>
      </c>
      <c r="F158" s="28">
        <f>COUNTIFS('Test Cases'!$M$5:$M$1000,"*"&amp;A158&amp;"*",'Test Cases'!$Q$5:$Q$1000,"Pass")</f>
        <v/>
      </c>
      <c r="G158" s="28">
        <f>IF(E158&gt;0,"Covered","GAP")</f>
        <v/>
      </c>
      <c r="H158" s="4" t="inlineStr">
        <is>
          <t>OUT-005</t>
        </is>
      </c>
    </row>
    <row r="159" ht="20" customHeight="1">
      <c r="A159" s="27" t="inlineStr">
        <is>
          <t>OUT-07</t>
        </is>
      </c>
      <c r="B159" s="4" t="inlineStr">
        <is>
          <t>Logout</t>
        </is>
      </c>
      <c r="C159" s="4" t="inlineStr">
        <is>
          <t>/logout is never preloaded</t>
        </is>
      </c>
      <c r="D159" s="4" t="inlineStr">
        <is>
          <t>routes/logout.tsx:21</t>
        </is>
      </c>
      <c r="E159" s="28">
        <f>COUNTIF('Test Cases'!$M$5:$M$1000,"*"&amp;A159&amp;"*")</f>
        <v/>
      </c>
      <c r="F159" s="28">
        <f>COUNTIFS('Test Cases'!$M$5:$M$1000,"*"&amp;A159&amp;"*",'Test Cases'!$Q$5:$Q$1000,"Pass")</f>
        <v/>
      </c>
      <c r="G159" s="28">
        <f>IF(E159&gt;0,"Covered","GAP")</f>
        <v/>
      </c>
      <c r="H159" s="4" t="inlineStr">
        <is>
          <t>OUT-006</t>
        </is>
      </c>
    </row>
    <row r="160" ht="20" customHeight="1">
      <c r="A160" s="27" t="inlineStr">
        <is>
          <t>OUT-08</t>
        </is>
      </c>
      <c r="B160" s="4" t="inlineStr">
        <is>
          <t>Logout</t>
        </is>
      </c>
      <c r="C160" s="4" t="inlineStr">
        <is>
          <t>Account switching leaves no remnants</t>
        </is>
      </c>
      <c r="D160" s="4" t="inlineStr">
        <is>
          <t>current-user.ts</t>
        </is>
      </c>
      <c r="E160" s="28">
        <f>COUNTIF('Test Cases'!$M$5:$M$1000,"*"&amp;A160&amp;"*")</f>
        <v/>
      </c>
      <c r="F160" s="28">
        <f>COUNTIFS('Test Cases'!$M$5:$M$1000,"*"&amp;A160&amp;"*",'Test Cases'!$Q$5:$Q$1000,"Pass")</f>
        <v/>
      </c>
      <c r="G160" s="28">
        <f>IF(E160&gt;0,"Covered","GAP")</f>
        <v/>
      </c>
      <c r="H160" s="4" t="inlineStr">
        <is>
          <t>OUT-007</t>
        </is>
      </c>
    </row>
    <row r="161" ht="20" customHeight="1">
      <c r="A161" s="27" t="inlineStr">
        <is>
          <t>INV-01</t>
        </is>
      </c>
      <c r="B161" s="4" t="inlineStr">
        <is>
          <t>Staff invitation</t>
        </is>
      </c>
      <c r="C161" s="4" t="inlineStr">
        <is>
          <t>Invitation page requires a session</t>
        </is>
      </c>
      <c r="D161" s="4" t="inlineStr">
        <is>
          <t>routes/accept-invitation.tsx</t>
        </is>
      </c>
      <c r="E161" s="28">
        <f>COUNTIF('Test Cases'!$M$5:$M$1000,"*"&amp;A161&amp;"*")</f>
        <v/>
      </c>
      <c r="F161" s="28">
        <f>COUNTIFS('Test Cases'!$M$5:$M$1000,"*"&amp;A161&amp;"*",'Test Cases'!$Q$5:$Q$1000,"Pass")</f>
        <v/>
      </c>
      <c r="G161" s="28">
        <f>IF(E161&gt;0,"Covered","GAP")</f>
        <v/>
      </c>
      <c r="H161" s="4" t="inlineStr">
        <is>
          <t>INV-001, INV-002</t>
        </is>
      </c>
    </row>
    <row r="162" ht="20" customHeight="1">
      <c r="A162" s="27" t="inlineStr">
        <is>
          <t>INV-02</t>
        </is>
      </c>
      <c r="B162" s="4" t="inlineStr">
        <is>
          <t>Staff invitation</t>
        </is>
      </c>
      <c r="C162" s="4" t="inlineStr">
        <is>
          <t>Password minimum length 8</t>
        </is>
      </c>
      <c r="D162" s="4" t="inlineStr">
        <is>
          <t>accept-invitation.schema.ts:4-6</t>
        </is>
      </c>
      <c r="E162" s="28">
        <f>COUNTIF('Test Cases'!$M$5:$M$1000,"*"&amp;A162&amp;"*")</f>
        <v/>
      </c>
      <c r="F162" s="28">
        <f>COUNTIFS('Test Cases'!$M$5:$M$1000,"*"&amp;A162&amp;"*",'Test Cases'!$Q$5:$Q$1000,"Pass")</f>
        <v/>
      </c>
      <c r="G162" s="28">
        <f>IF(E162&gt;0,"Covered","GAP")</f>
        <v/>
      </c>
      <c r="H162" s="4" t="inlineStr">
        <is>
          <t>INV-003, INV-004</t>
        </is>
      </c>
    </row>
    <row r="163" ht="20" customHeight="1">
      <c r="A163" s="27" t="inlineStr">
        <is>
          <t>INV-03</t>
        </is>
      </c>
      <c r="B163" s="4" t="inlineStr">
        <is>
          <t>Staff invitation</t>
        </is>
      </c>
      <c r="C163" s="4" t="inlineStr">
        <is>
          <t>Confirmation required and must match</t>
        </is>
      </c>
      <c r="D163" s="4" t="inlineStr">
        <is>
          <t>accept-invitation.schema.ts:9-17</t>
        </is>
      </c>
      <c r="E163" s="28">
        <f>COUNTIF('Test Cases'!$M$5:$M$1000,"*"&amp;A163&amp;"*")</f>
        <v/>
      </c>
      <c r="F163" s="28">
        <f>COUNTIFS('Test Cases'!$M$5:$M$1000,"*"&amp;A163&amp;"*",'Test Cases'!$Q$5:$Q$1000,"Pass")</f>
        <v/>
      </c>
      <c r="G163" s="28">
        <f>IF(E163&gt;0,"Covered","GAP")</f>
        <v/>
      </c>
      <c r="H163" s="4" t="inlineStr">
        <is>
          <t>INV-005</t>
        </is>
      </c>
    </row>
    <row r="164" ht="20" customHeight="1">
      <c r="A164" s="27" t="inlineStr">
        <is>
          <t>INV-04</t>
        </is>
      </c>
      <c r="B164" s="4" t="inlineStr">
        <is>
          <t>Staff invitation</t>
        </is>
      </c>
      <c r="C164" s="4" t="inlineStr">
        <is>
          <t>Success sets password and invitation_accepted_at</t>
        </is>
      </c>
      <c r="D164" s="4" t="inlineStr">
        <is>
          <t>acceptStaffInvitationFn:23-36</t>
        </is>
      </c>
      <c r="E164" s="28">
        <f>COUNTIF('Test Cases'!$M$5:$M$1000,"*"&amp;A164&amp;"*")</f>
        <v/>
      </c>
      <c r="F164" s="28">
        <f>COUNTIFS('Test Cases'!$M$5:$M$1000,"*"&amp;A164&amp;"*",'Test Cases'!$Q$5:$Q$1000,"Pass")</f>
        <v/>
      </c>
      <c r="G164" s="28">
        <f>IF(E164&gt;0,"Covered","GAP")</f>
        <v/>
      </c>
      <c r="H164" s="4" t="inlineStr">
        <is>
          <t>INV-001, INV-004</t>
        </is>
      </c>
    </row>
    <row r="165" ht="20" customHeight="1">
      <c r="A165" s="27" t="inlineStr">
        <is>
          <t>INV-05</t>
        </is>
      </c>
      <c r="B165" s="4" t="inlineStr">
        <is>
          <t>Staff invitation</t>
        </is>
      </c>
      <c r="C165" s="4" t="inlineStr">
        <is>
          <t>Non-operational roles rejected</t>
        </is>
      </c>
      <c r="D165" s="4" t="inlineStr">
        <is>
          <t>acceptStaffInvitationFn:19-21</t>
        </is>
      </c>
      <c r="E165" s="28">
        <f>COUNTIF('Test Cases'!$M$5:$M$1000,"*"&amp;A165&amp;"*")</f>
        <v/>
      </c>
      <c r="F165" s="28">
        <f>COUNTIFS('Test Cases'!$M$5:$M$1000,"*"&amp;A165&amp;"*",'Test Cases'!$Q$5:$Q$1000,"Pass")</f>
        <v/>
      </c>
      <c r="G165" s="28">
        <f>IF(E165&gt;0,"Covered","GAP")</f>
        <v/>
      </c>
      <c r="H165" s="4" t="inlineStr">
        <is>
          <t>INV-010, INV-011</t>
        </is>
      </c>
    </row>
    <row r="166" ht="20" customHeight="1">
      <c r="A166" s="27" t="inlineStr">
        <is>
          <t>INV-06</t>
        </is>
      </c>
      <c r="B166" s="4" t="inlineStr">
        <is>
          <t>Staff invitation</t>
        </is>
      </c>
      <c r="C166" s="4" t="inlineStr">
        <is>
          <t>Expired or invalid invitation link</t>
        </is>
      </c>
      <c r="D166" s="4" t="inlineStr">
        <is>
          <t>auth/callback.tsx</t>
        </is>
      </c>
      <c r="E166" s="28">
        <f>COUNTIF('Test Cases'!$M$5:$M$1000,"*"&amp;A166&amp;"*")</f>
        <v/>
      </c>
      <c r="F166" s="28">
        <f>COUNTIFS('Test Cases'!$M$5:$M$1000,"*"&amp;A166&amp;"*",'Test Cases'!$Q$5:$Q$1000,"Pass")</f>
        <v/>
      </c>
      <c r="G166" s="28">
        <f>IF(E166&gt;0,"Covered","GAP")</f>
        <v/>
      </c>
      <c r="H166" s="4" t="inlineStr">
        <is>
          <t>INV-007</t>
        </is>
      </c>
    </row>
    <row r="167" ht="20" customHeight="1">
      <c r="A167" s="27" t="inlineStr">
        <is>
          <t>INV-07</t>
        </is>
      </c>
      <c r="B167" s="4" t="inlineStr">
        <is>
          <t>Staff invitation</t>
        </is>
      </c>
      <c r="C167" s="4" t="inlineStr">
        <is>
          <t>Session lost before submit</t>
        </is>
      </c>
      <c r="D167" s="4" t="inlineStr">
        <is>
          <t>acceptStaffInvitationFn:11-18</t>
        </is>
      </c>
      <c r="E167" s="28">
        <f>COUNTIF('Test Cases'!$M$5:$M$1000,"*"&amp;A167&amp;"*")</f>
        <v/>
      </c>
      <c r="F167" s="28">
        <f>COUNTIFS('Test Cases'!$M$5:$M$1000,"*"&amp;A167&amp;"*",'Test Cases'!$Q$5:$Q$1000,"Pass")</f>
        <v/>
      </c>
      <c r="G167" s="28">
        <f>IF(E167&gt;0,"Covered","GAP")</f>
        <v/>
      </c>
      <c r="H167" s="4" t="inlineStr">
        <is>
          <t>INV-009</t>
        </is>
      </c>
    </row>
    <row r="168" ht="20" customHeight="1">
      <c r="A168" s="27" t="inlineStr">
        <is>
          <t>INV-08</t>
        </is>
      </c>
      <c r="B168" s="4" t="inlineStr">
        <is>
          <t>Staff invitation</t>
        </is>
      </c>
      <c r="C168" s="4" t="inlineStr">
        <is>
          <t>Invitation link reuse</t>
        </is>
      </c>
      <c r="D168" s="4" t="inlineStr">
        <is>
          <t>auth/callback.tsx</t>
        </is>
      </c>
      <c r="E168" s="28">
        <f>COUNTIF('Test Cases'!$M$5:$M$1000,"*"&amp;A168&amp;"*")</f>
        <v/>
      </c>
      <c r="F168" s="28">
        <f>COUNTIFS('Test Cases'!$M$5:$M$1000,"*"&amp;A168&amp;"*",'Test Cases'!$Q$5:$Q$1000,"Pass")</f>
        <v/>
      </c>
      <c r="G168" s="28">
        <f>IF(E168&gt;0,"Covered","GAP")</f>
        <v/>
      </c>
      <c r="H168" s="4" t="inlineStr">
        <is>
          <t>INV-008</t>
        </is>
      </c>
    </row>
    <row r="169" ht="20" customHeight="1">
      <c r="A169" s="27" t="inlineStr">
        <is>
          <t>INV-09</t>
        </is>
      </c>
      <c r="B169" s="4" t="inlineStr">
        <is>
          <t>Staff invitation</t>
        </is>
      </c>
      <c r="C169" s="4" t="inlineStr">
        <is>
          <t>Supabase updateUser error passthrough</t>
        </is>
      </c>
      <c r="D169" s="4" t="inlineStr">
        <is>
          <t>acceptStaffInvitationFn:30-32</t>
        </is>
      </c>
      <c r="E169" s="28">
        <f>COUNTIF('Test Cases'!$M$5:$M$1000,"*"&amp;A169&amp;"*")</f>
        <v/>
      </c>
      <c r="F169" s="28">
        <f>COUNTIFS('Test Cases'!$M$5:$M$1000,"*"&amp;A169&amp;"*",'Test Cases'!$Q$5:$Q$1000,"Pass")</f>
        <v/>
      </c>
      <c r="G169" s="28">
        <f>IF(E169&gt;0,"Covered","GAP")</f>
        <v/>
      </c>
      <c r="H169" s="4" t="inlineStr">
        <is>
          <t>INV-012</t>
        </is>
      </c>
    </row>
    <row r="170" ht="20" customHeight="1">
      <c r="A170" s="27" t="inlineStr">
        <is>
          <t>INV-10</t>
        </is>
      </c>
      <c r="B170" s="4" t="inlineStr">
        <is>
          <t>Staff invitation</t>
        </is>
      </c>
      <c r="C170" s="4" t="inlineStr">
        <is>
          <t>Inactive invitee rejected</t>
        </is>
      </c>
      <c r="D170" s="4" t="inlineStr">
        <is>
          <t>requireActiveSession:95</t>
        </is>
      </c>
      <c r="E170" s="28">
        <f>COUNTIF('Test Cases'!$M$5:$M$1000,"*"&amp;A170&amp;"*")</f>
        <v/>
      </c>
      <c r="F170" s="28">
        <f>COUNTIFS('Test Cases'!$M$5:$M$1000,"*"&amp;A170&amp;"*",'Test Cases'!$Q$5:$Q$1000,"Pass")</f>
        <v/>
      </c>
      <c r="G170" s="28">
        <f>IF(E170&gt;0,"Covered","GAP")</f>
        <v/>
      </c>
      <c r="H170" s="4" t="inlineStr">
        <is>
          <t>INV-013</t>
        </is>
      </c>
    </row>
    <row r="171" ht="20" customHeight="1">
      <c r="A171" s="27" t="inlineStr">
        <is>
          <t>INV-11</t>
        </is>
      </c>
      <c r="B171" s="4" t="inlineStr">
        <is>
          <t>Staff invitation</t>
        </is>
      </c>
      <c r="C171" s="4" t="inlineStr">
        <is>
          <t>Digit rule consistency</t>
        </is>
      </c>
      <c r="D171" s="4" t="inlineStr">
        <is>
          <t>accept-invitation.schema.ts:6</t>
        </is>
      </c>
      <c r="E171" s="28">
        <f>COUNTIF('Test Cases'!$M$5:$M$1000,"*"&amp;A171&amp;"*")</f>
        <v/>
      </c>
      <c r="F171" s="28">
        <f>COUNTIFS('Test Cases'!$M$5:$M$1000,"*"&amp;A171&amp;"*",'Test Cases'!$Q$5:$Q$1000,"Pass")</f>
        <v/>
      </c>
      <c r="G171" s="28">
        <f>IF(E171&gt;0,"Covered","GAP")</f>
        <v/>
      </c>
      <c r="H171" s="4" t="inlineStr">
        <is>
          <t>INV-006</t>
        </is>
      </c>
    </row>
    <row r="172" ht="20" customHeight="1">
      <c r="A172" s="27" t="inlineStr">
        <is>
          <t>AUD-01</t>
        </is>
      </c>
      <c r="B172" s="4" t="inlineStr">
        <is>
          <t>Audit &amp; security events</t>
        </is>
      </c>
      <c r="C172" s="4" t="inlineStr">
        <is>
          <t>Personnel session events (admin vs staff type)</t>
        </is>
      </c>
      <c r="D172" s="4" t="inlineStr">
        <is>
          <t>recordSessionStarted</t>
        </is>
      </c>
      <c r="E172" s="28">
        <f>COUNTIF('Test Cases'!$M$5:$M$1000,"*"&amp;A172&amp;"*")</f>
        <v/>
      </c>
      <c r="F172" s="28">
        <f>COUNTIFS('Test Cases'!$M$5:$M$1000,"*"&amp;A172&amp;"*",'Test Cases'!$Q$5:$Q$1000,"Pass")</f>
        <v/>
      </c>
      <c r="G172" s="28">
        <f>IF(E172&gt;0,"Covered","GAP")</f>
        <v/>
      </c>
      <c r="H172" s="4" t="inlineStr">
        <is>
          <t>LGN-002, LGN-003, LGN-004, LGN-005, AUD-001</t>
        </is>
      </c>
    </row>
    <row r="173" ht="20" customHeight="1">
      <c r="A173" s="27" t="inlineStr">
        <is>
          <t>AUD-02</t>
        </is>
      </c>
      <c r="B173" s="4" t="inlineStr">
        <is>
          <t>Audit &amp; security events</t>
        </is>
      </c>
      <c r="C173" s="4" t="inlineStr">
        <is>
          <t>Citizen sign-ins deliberately untracked</t>
        </is>
      </c>
      <c r="D173" s="4" t="inlineStr">
        <is>
          <t>recordSessionStarted:77-79</t>
        </is>
      </c>
      <c r="E173" s="28">
        <f>COUNTIF('Test Cases'!$M$5:$M$1000,"*"&amp;A173&amp;"*")</f>
        <v/>
      </c>
      <c r="F173" s="28">
        <f>COUNTIFS('Test Cases'!$M$5:$M$1000,"*"&amp;A173&amp;"*",'Test Cases'!$Q$5:$Q$1000,"Pass")</f>
        <v/>
      </c>
      <c r="G173" s="28">
        <f>IF(E173&gt;0,"Covered","GAP")</f>
        <v/>
      </c>
      <c r="H173" s="4" t="inlineStr">
        <is>
          <t>LGN-001, AUD-002</t>
        </is>
      </c>
    </row>
    <row r="174" ht="20" customHeight="1">
      <c r="A174" s="27" t="inlineStr">
        <is>
          <t>AUD-03</t>
        </is>
      </c>
      <c r="B174" s="4" t="inlineStr">
        <is>
          <t>Audit &amp; security events</t>
        </is>
      </c>
      <c r="C174" s="4" t="inlineStr">
        <is>
          <t>sign_in_failed event (metadata only)</t>
        </is>
      </c>
      <c r="D174" s="4" t="inlineStr">
        <is>
          <t>recordAuthenticationSecurityEvent</t>
        </is>
      </c>
      <c r="E174" s="28">
        <f>COUNTIF('Test Cases'!$M$5:$M$1000,"*"&amp;A174&amp;"*")</f>
        <v/>
      </c>
      <c r="F174" s="28">
        <f>COUNTIFS('Test Cases'!$M$5:$M$1000,"*"&amp;A174&amp;"*",'Test Cases'!$Q$5:$Q$1000,"Pass")</f>
        <v/>
      </c>
      <c r="G174" s="28">
        <f>IF(E174&gt;0,"Covered","GAP")</f>
        <v/>
      </c>
      <c r="H174" s="4" t="inlineStr">
        <is>
          <t>LGN-017, LGN-038, AUD-003</t>
        </is>
      </c>
    </row>
    <row r="175" ht="20" customHeight="1">
      <c r="A175" s="27" t="inlineStr">
        <is>
          <t>AUD-04</t>
        </is>
      </c>
      <c r="B175" s="4" t="inlineStr">
        <is>
          <t>Audit &amp; security events</t>
        </is>
      </c>
      <c r="C175" s="4" t="inlineStr">
        <is>
          <t>Social / invitation / email-link session events and skip for inactive</t>
        </is>
      </c>
      <c r="D175" s="4" t="inlineStr">
        <is>
          <t>recordSessionForCurrentUser</t>
        </is>
      </c>
      <c r="E175" s="28">
        <f>COUNTIF('Test Cases'!$M$5:$M$1000,"*"&amp;A175&amp;"*")</f>
        <v/>
      </c>
      <c r="F175" s="28">
        <f>COUNTIFS('Test Cases'!$M$5:$M$1000,"*"&amp;A175&amp;"*",'Test Cases'!$Q$5:$Q$1000,"Pass")</f>
        <v/>
      </c>
      <c r="G175" s="28">
        <f>IF(E175&gt;0,"Covered","GAP")</f>
        <v/>
      </c>
      <c r="H175" s="4" t="inlineStr">
        <is>
          <t>OAU-012, OAU-013, AUD-004, AUD-007</t>
        </is>
      </c>
    </row>
    <row r="176" ht="20" customHeight="1">
      <c r="A176" s="27" t="inlineStr">
        <is>
          <t>AUD-05</t>
        </is>
      </c>
      <c r="B176" s="4" t="inlineStr">
        <is>
          <t>Audit &amp; security events</t>
        </is>
      </c>
      <c r="C176" s="4" t="inlineStr">
        <is>
          <t>Recovery session event</t>
        </is>
      </c>
      <c r="D176" s="4" t="inlineStr">
        <is>
          <t>verifyRecoveryOtpFn:519</t>
        </is>
      </c>
      <c r="E176" s="28">
        <f>COUNTIF('Test Cases'!$M$5:$M$1000,"*"&amp;A176&amp;"*")</f>
        <v/>
      </c>
      <c r="F176" s="28">
        <f>COUNTIFS('Test Cases'!$M$5:$M$1000,"*"&amp;A176&amp;"*",'Test Cases'!$Q$5:$Q$1000,"Pass")</f>
        <v/>
      </c>
      <c r="G176" s="28">
        <f>IF(E176&gt;0,"Covered","GAP")</f>
        <v/>
      </c>
      <c r="H176" s="4" t="inlineStr">
        <is>
          <t>FPW-010, AUD-005</t>
        </is>
      </c>
    </row>
    <row r="177" ht="20" customHeight="1">
      <c r="A177" s="27" t="inlineStr">
        <is>
          <t>AUD-06</t>
        </is>
      </c>
      <c r="B177" s="4" t="inlineStr">
        <is>
          <t>Audit &amp; security events</t>
        </is>
      </c>
      <c r="C177" s="4" t="inlineStr">
        <is>
          <t>No secrets or PII in events</t>
        </is>
      </c>
      <c r="D177" s="4" t="inlineStr">
        <is>
          <t>security-center.server.ts</t>
        </is>
      </c>
      <c r="E177" s="28">
        <f>COUNTIF('Test Cases'!$M$5:$M$1000,"*"&amp;A177&amp;"*")</f>
        <v/>
      </c>
      <c r="F177" s="28">
        <f>COUNTIFS('Test Cases'!$M$5:$M$1000,"*"&amp;A177&amp;"*",'Test Cases'!$Q$5:$Q$1000,"Pass")</f>
        <v/>
      </c>
      <c r="G177" s="28">
        <f>IF(E177&gt;0,"Covered","GAP")</f>
        <v/>
      </c>
      <c r="H177" s="4" t="inlineStr">
        <is>
          <t>AUD-003, AUD-006</t>
        </is>
      </c>
    </row>
    <row r="178" ht="20" customHeight="1">
      <c r="A178" s="27" t="inlineStr">
        <is>
          <t>AUD-07</t>
        </is>
      </c>
      <c r="B178" s="4" t="inlineStr">
        <is>
          <t>Audit &amp; security events</t>
        </is>
      </c>
      <c r="C178" s="4" t="inlineStr">
        <is>
          <t>Telemetry failure never blocks sign-in</t>
        </is>
      </c>
      <c r="D178" s="4" t="inlineStr">
        <is>
          <t>security-center.server.ts:60-65</t>
        </is>
      </c>
      <c r="E178" s="28">
        <f>COUNTIF('Test Cases'!$M$5:$M$1000,"*"&amp;A178&amp;"*")</f>
        <v/>
      </c>
      <c r="F178" s="28">
        <f>COUNTIFS('Test Cases'!$M$5:$M$1000,"*"&amp;A178&amp;"*",'Test Cases'!$Q$5:$Q$1000,"Pass")</f>
        <v/>
      </c>
      <c r="G178" s="28">
        <f>IF(E178&gt;0,"Covered","GAP")</f>
        <v/>
      </c>
      <c r="H178" s="4" t="inlineStr">
        <is>
          <t>LGN-041</t>
        </is>
      </c>
    </row>
  </sheetData>
  <autoFilter ref="A9:H178"/>
  <mergeCells count="7">
    <mergeCell ref="A5:D5"/>
    <mergeCell ref="A8:D8"/>
    <mergeCell ref="A6:D6"/>
    <mergeCell ref="A4:D4"/>
    <mergeCell ref="A2:H2"/>
    <mergeCell ref="A3:D3"/>
    <mergeCell ref="A7:D7"/>
  </mergeCells>
  <conditionalFormatting sqref="G10:G1000">
    <cfRule type="cellIs" priority="1" operator="equal" dxfId="0">
      <formula>"GAP"</formula>
    </cfRule>
    <cfRule type="cellIs" priority="2" operator="equal" dxfId="8">
      <formula>"Covered"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L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38" customWidth="1" min="4" max="4"/>
    <col width="54" customWidth="1" min="5" max="5"/>
    <col width="44" customWidth="1" min="6" max="6"/>
    <col width="38" customWidth="1" min="7" max="7"/>
    <col width="11" customWidth="1" min="8" max="8"/>
    <col width="9" customWidth="1" min="9" max="9"/>
    <col width="30" customWidth="1" min="10" max="10"/>
    <col width="12" customWidth="1" min="11" max="11"/>
    <col width="28" customWidth="1" min="12" max="12"/>
  </cols>
  <sheetData>
    <row r="1">
      <c r="A1" s="25" t="inlineStr">
        <is>
          <t>Findings - issues spotted while designing the tests</t>
        </is>
      </c>
    </row>
    <row r="2" ht="28" customHeight="1">
      <c r="A2" s="26" t="inlineStr">
        <is>
          <t>Confirmed = read directly in the code. Verify = plausible from the code but needs a runtime check (the linked test case does that). Severity is a QA estimate for the capstone prototype, not a formal rating.</t>
        </is>
      </c>
    </row>
    <row r="4" ht="32" customHeight="1">
      <c r="A4" s="16" t="inlineStr">
        <is>
          <t>ID</t>
        </is>
      </c>
      <c r="B4" s="16" t="inlineStr">
        <is>
          <t>Severity</t>
        </is>
      </c>
      <c r="C4" s="16" t="inlineStr">
        <is>
          <t>Area</t>
        </is>
      </c>
      <c r="D4" s="16" t="inlineStr">
        <is>
          <t>Observation</t>
        </is>
      </c>
      <c r="E4" s="16" t="inlineStr">
        <is>
          <t>Evidence (file:line)</t>
        </is>
      </c>
      <c r="F4" s="16" t="inlineStr">
        <is>
          <t>Impact</t>
        </is>
      </c>
      <c r="G4" s="16" t="inlineStr">
        <is>
          <t>Recommendation</t>
        </is>
      </c>
      <c r="H4" s="16" t="inlineStr">
        <is>
          <t>Confidence</t>
        </is>
      </c>
      <c r="I4" s="16" t="inlineStr">
        <is>
          <t>Linked TCs</t>
        </is>
      </c>
      <c r="J4" s="16" t="inlineStr">
        <is>
          <t>Linked test cases (snapshot)</t>
        </is>
      </c>
      <c r="K4" s="16" t="inlineStr">
        <is>
          <t>Status *</t>
        </is>
      </c>
      <c r="L4" s="16" t="inlineStr">
        <is>
          <t>Notes *</t>
        </is>
      </c>
    </row>
    <row r="5" ht="49" customHeight="1">
      <c r="A5" s="27" t="inlineStr">
        <is>
          <t>F-01</t>
        </is>
      </c>
      <c r="B5" s="28" t="inlineStr">
        <is>
          <t>Medium</t>
        </is>
      </c>
      <c r="C5" s="4" t="inlineStr">
        <is>
          <t>Login</t>
        </is>
      </c>
      <c r="D5" s="4" t="inlineStr">
        <is>
          <t>"Keep me signed in" checkbox has no effect.</t>
        </is>
      </c>
      <c r="E5" s="4" t="inlineStr">
        <is>
          <t>LoginForm.tsx:90 holds keepSignedIn state; it is never passed to useLogin / loginWithEmailFn.</t>
        </is>
      </c>
      <c r="F5" s="4" t="inlineStr">
        <is>
          <t>Residents on shared computers believe unticking the box ends the session at browser close; it does not.</t>
        </is>
      </c>
      <c r="G5" s="4" t="inlineStr">
        <is>
          <t>Wire the option to session persistence, or remove the checkbox.</t>
        </is>
      </c>
      <c r="H5" s="28" t="inlineStr">
        <is>
          <t>Confirmed</t>
        </is>
      </c>
      <c r="I5" s="28">
        <f>COUNTIF('Test Cases'!$O$5:$O$1000,"*"&amp;A5&amp;"*")</f>
        <v/>
      </c>
      <c r="J5" s="4" t="inlineStr">
        <is>
          <t>LGN-034</t>
        </is>
      </c>
      <c r="K5" s="30" t="inlineStr">
        <is>
          <t>Open</t>
        </is>
      </c>
      <c r="L5" s="29" t="n"/>
    </row>
    <row r="6" ht="64" customHeight="1">
      <c r="A6" s="27" t="inlineStr">
        <is>
          <t>F-02</t>
        </is>
      </c>
      <c r="B6" s="28" t="inlineStr">
        <is>
          <t>Low</t>
        </is>
      </c>
      <c r="C6" s="4" t="inlineStr">
        <is>
          <t>Login / Reset</t>
        </is>
      </c>
      <c r="D6" s="4" t="inlineStr">
        <is>
          <t>Misleading and incorrect validation copy; client blocks short legacy passwords.</t>
        </is>
      </c>
      <c r="E6" s="4" t="inlineStr">
        <is>
          <t>LoginForm.tsx:44 and ResetPasswordForm.tsx:36 show "Password is required" for 1-7 characters; ResetPasswordForm.tsx:37 reads "Please confirm you password"; login requires 8+ so accounts with shorter Supabase-allowed passwords cannot sign in.</t>
        </is>
      </c>
      <c r="F6" s="4" t="inlineStr">
        <is>
          <t>Confusing errors; some users locked out at the form.</t>
        </is>
      </c>
      <c r="G6" s="4" t="inlineStr">
        <is>
          <t>Use "Password must be at least 8 characters"; relax login to min(1); fix typo.</t>
        </is>
      </c>
      <c r="H6" s="28" t="inlineStr">
        <is>
          <t>Confirmed</t>
        </is>
      </c>
      <c r="I6" s="28">
        <f>COUNTIF('Test Cases'!$O$5:$O$1000,"*"&amp;A6&amp;"*")</f>
        <v/>
      </c>
      <c r="J6" s="4" t="inlineStr">
        <is>
          <t>LGN-014, LGN-016, RPW-002, RPW-004</t>
        </is>
      </c>
      <c r="K6" s="30" t="inlineStr">
        <is>
          <t>Open</t>
        </is>
      </c>
      <c r="L6" s="29" t="n"/>
    </row>
    <row r="7" ht="79" customHeight="1">
      <c r="A7" s="27" t="inlineStr">
        <is>
          <t>F-03</t>
        </is>
      </c>
      <c r="B7" s="28" t="inlineStr">
        <is>
          <t>Medium</t>
        </is>
      </c>
      <c r="C7" s="4" t="inlineStr">
        <is>
          <t>Password policy</t>
        </is>
      </c>
      <c r="D7" s="4" t="inlineStr">
        <is>
          <t>Password rules are inconsistent across flows and not enforced server-side on reset/invitation.</t>
        </is>
      </c>
      <c r="E7" s="4" t="inlineStr">
        <is>
          <t>Register and change-password need 8 chars + a digit (RegisterForm.tsx:44-47, account.mutations.ts:99); reset (ResetPasswordForm.tsx:36) and invitation (accept-invitation.schema.ts:6) only need 8; resetPasswordFn and acceptStaffInvitationFn apply no rule of their own.</t>
        </is>
      </c>
      <c r="F7" s="4" t="inlineStr">
        <is>
          <t>A user (or staff account) can end up with a weaker password than policy intends by using the reset or invitation path or calling the server function directly.</t>
        </is>
      </c>
      <c r="G7" s="4" t="inlineStr">
        <is>
          <t>Share one password schema and enforce it in every server function.</t>
        </is>
      </c>
      <c r="H7" s="28" t="inlineStr">
        <is>
          <t>Confirmed</t>
        </is>
      </c>
      <c r="I7" s="28">
        <f>COUNTIF('Test Cases'!$O$5:$O$1000,"*"&amp;A7&amp;"*")</f>
        <v/>
      </c>
      <c r="J7" s="4" t="inlineStr">
        <is>
          <t>RPW-007, RPW-012, INV-006</t>
        </is>
      </c>
      <c r="K7" s="30" t="inlineStr">
        <is>
          <t>Open</t>
        </is>
      </c>
      <c r="L7" s="29" t="n"/>
    </row>
    <row r="8" ht="49" customHeight="1">
      <c r="A8" s="27" t="inlineStr">
        <is>
          <t>F-04</t>
        </is>
      </c>
      <c r="B8" s="28" t="inlineStr">
        <is>
          <t>Medium</t>
        </is>
      </c>
      <c r="C8" s="4" t="inlineStr">
        <is>
          <t>Registration</t>
        </is>
      </c>
      <c r="D8" s="4" t="inlineStr">
        <is>
          <t>Names accept whitespace-only values, are not trimmed, and have no maximum length.</t>
        </is>
      </c>
      <c r="E8" s="4" t="inlineStr">
        <is>
          <t>RegisterForm.tsx:39-41 uses z.string().min(1); signup payload passes first/last name untrimmed (RegisterForm.tsx:107-113).</t>
        </is>
      </c>
      <c r="F8" s="4" t="inlineStr">
        <is>
          <t>Blank-looking or oversized names reach civil-registry records; the app later treats a trimmed-blank name as missing (onboarding redirect).</t>
        </is>
      </c>
      <c r="G8" s="4" t="inlineStr">
        <is>
          <t>Trim, require at least one non-space character, and add a sensible max length.</t>
        </is>
      </c>
      <c r="H8" s="28" t="inlineStr">
        <is>
          <t>Confirmed</t>
        </is>
      </c>
      <c r="I8" s="28">
        <f>COUNTIF('Test Cases'!$O$5:$O$1000,"*"&amp;A8&amp;"*")</f>
        <v/>
      </c>
      <c r="J8" s="4" t="inlineStr">
        <is>
          <t>REG-009, REG-011, REG-038</t>
        </is>
      </c>
      <c r="K8" s="30" t="inlineStr">
        <is>
          <t>Open</t>
        </is>
      </c>
      <c r="L8" s="29" t="n"/>
    </row>
    <row r="9" ht="49" customHeight="1">
      <c r="A9" s="27" t="inlineStr">
        <is>
          <t>F-05</t>
        </is>
      </c>
      <c r="B9" s="28" t="inlineStr">
        <is>
          <t>Low</t>
        </is>
      </c>
      <c r="C9" s="4" t="inlineStr">
        <is>
          <t>Registration</t>
        </is>
      </c>
      <c r="D9" s="4" t="inlineStr">
        <is>
          <t>Sign-up reveals whether an email already has an account.</t>
        </is>
      </c>
      <c r="E9" s="4" t="inlineStr">
        <is>
          <t>signupFn returns Supabase's "already been registered" message (auth.mutations.ts:189-235) while forgotPasswordFn deliberately avoids enumeration (lines 427-435).</t>
        </is>
      </c>
      <c r="F9" s="4" t="inlineStr">
        <is>
          <t>Account-enumeration inconsistency. May be an accepted UX trade-off.</t>
        </is>
      </c>
      <c r="G9" s="4" t="inlineStr">
        <is>
          <t>Decide and document the policy; align messages if enumeration should be blocked.</t>
        </is>
      </c>
      <c r="H9" s="28" t="inlineStr">
        <is>
          <t>Confirmed</t>
        </is>
      </c>
      <c r="I9" s="28">
        <f>COUNTIF('Test Cases'!$O$5:$O$1000,"*"&amp;A9&amp;"*")</f>
        <v/>
      </c>
      <c r="J9" s="4" t="inlineStr">
        <is>
          <t>REG-027</t>
        </is>
      </c>
      <c r="K9" s="30" t="inlineStr">
        <is>
          <t>Open</t>
        </is>
      </c>
      <c r="L9" s="29" t="n"/>
    </row>
    <row r="10" ht="49" customHeight="1">
      <c r="A10" s="27" t="inlineStr">
        <is>
          <t>F-06</t>
        </is>
      </c>
      <c r="B10" s="28" t="inlineStr">
        <is>
          <t>Medium</t>
        </is>
      </c>
      <c r="C10" s="4" t="inlineStr">
        <is>
          <t>Registration / OTP</t>
        </is>
      </c>
      <c r="D10" s="4" t="inlineStr">
        <is>
          <t>Unconfirmed-user lookup reads only the first 1,000 auth users.</t>
        </is>
      </c>
      <c r="E10" s="4" t="inlineStr">
        <is>
          <t>listUsers({ perPage: 1000 }) with no pagination in signupFn (auth.mutations.ts:199-205) and resendSignupOtpFn (lines 298-301).</t>
        </is>
      </c>
      <c r="F10" s="4" t="inlineStr">
        <is>
          <t>Once the user base exceeds 1,000, a stuck unconfirmed user can no longer re-register or resend ("already registered" / "Invalid email or password").</t>
        </is>
      </c>
      <c r="G10" s="4" t="inlineStr">
        <is>
          <t>Look the user up by email (getUserByEmail / profiles) instead of listing.</t>
        </is>
      </c>
      <c r="H10" s="28" t="inlineStr">
        <is>
          <t>Confirmed</t>
        </is>
      </c>
      <c r="I10" s="28">
        <f>COUNTIF('Test Cases'!$O$5:$O$1000,"*"&amp;A10&amp;"*")</f>
        <v/>
      </c>
      <c r="J10" s="4" t="inlineStr">
        <is>
          <t>REG-031</t>
        </is>
      </c>
      <c r="K10" s="30" t="inlineStr">
        <is>
          <t>Open</t>
        </is>
      </c>
      <c r="L10" s="29" t="n"/>
    </row>
    <row r="11" ht="49" customHeight="1">
      <c r="A11" s="27" t="inlineStr">
        <is>
          <t>F-07</t>
        </is>
      </c>
      <c r="B11" s="28" t="inlineStr">
        <is>
          <t>Medium</t>
        </is>
      </c>
      <c r="C11" s="4" t="inlineStr">
        <is>
          <t>Registration</t>
        </is>
      </c>
      <c r="D11" s="4" t="inlineStr">
        <is>
          <t>Anyone can reset another person's pending (unconfirmed) registration.</t>
        </is>
      </c>
      <c r="E11" s="4" t="inlineStr">
        <is>
          <t>signupFn deletes and recreates an unconfirmed user for the same email (auth.mutations.ts:203-221).</t>
        </is>
      </c>
      <c r="F11" s="4" t="inlineStr">
        <is>
          <t>Griefing: the victim's emailed code becomes "old" and the victim receives unsolicited OTP emails. No takeover (code goes to the victim's inbox).</t>
        </is>
      </c>
      <c r="G11" s="4" t="inlineStr">
        <is>
          <t>Rate-limit per email/IP; avoid delete-and-recreate where possible.</t>
        </is>
      </c>
      <c r="H11" s="28" t="inlineStr">
        <is>
          <t>Confirmed</t>
        </is>
      </c>
      <c r="I11" s="28">
        <f>COUNTIF('Test Cases'!$O$5:$O$1000,"*"&amp;A11&amp;"*")</f>
        <v/>
      </c>
      <c r="J11" s="4" t="inlineStr">
        <is>
          <t>REG-029, REG-030</t>
        </is>
      </c>
      <c r="K11" s="30" t="inlineStr">
        <is>
          <t>Open</t>
        </is>
      </c>
      <c r="L11" s="29" t="n"/>
    </row>
    <row r="12" ht="64" customHeight="1">
      <c r="A12" s="27" t="inlineStr">
        <is>
          <t>F-08</t>
        </is>
      </c>
      <c r="B12" s="28" t="inlineStr">
        <is>
          <t>Medium</t>
        </is>
      </c>
      <c r="C12" s="4" t="inlineStr">
        <is>
          <t>Throttling / audit</t>
        </is>
      </c>
      <c r="D12" s="4" t="inlineStr">
        <is>
          <t>No app-level throttling, lockout or audit on credential-guessing and email-sending endpoints.</t>
        </is>
      </c>
      <c r="E12" s="4" t="inlineStr">
        <is>
          <t>Only loginWithEmailFn writes sign_in_failed. signupFn, forgotPasswordFn, resendSignupOtpFn, verify*OtpFn and changeMyPasswordFn have none; the 30 s resend cooldown is client-side only (OtpCodeForm.tsx:16).</t>
        </is>
      </c>
      <c r="F12" s="4" t="inlineStr">
        <is>
          <t>OTP guessing, email flooding and current-password guessing depend entirely on Supabase platform limits and are invisible to administrators.</t>
        </is>
      </c>
      <c r="G12" s="4" t="inlineStr">
        <is>
          <t>Add per-email/IP limits and security events for these endpoints.</t>
        </is>
      </c>
      <c r="H12" s="28" t="inlineStr">
        <is>
          <t>Confirmed</t>
        </is>
      </c>
      <c r="I12" s="28">
        <f>COUNTIF('Test Cases'!$O$5:$O$1000,"*"&amp;A12&amp;"*")</f>
        <v/>
      </c>
      <c r="J12" s="4" t="inlineStr">
        <is>
          <t>LGN-038, OTP-026, FPW-021, CPW-013</t>
        </is>
      </c>
      <c r="K12" s="30" t="inlineStr">
        <is>
          <t>Open</t>
        </is>
      </c>
      <c r="L12" s="29" t="n"/>
    </row>
    <row r="13" ht="64" customHeight="1">
      <c r="A13" s="27" t="inlineStr">
        <is>
          <t>F-09</t>
        </is>
      </c>
      <c r="B13" s="28" t="inlineStr">
        <is>
          <t>Low</t>
        </is>
      </c>
      <c r="C13" s="4" t="inlineStr">
        <is>
          <t>Reset password</t>
        </is>
      </c>
      <c r="D13" s="4" t="inlineStr">
        <is>
          <t>/reset-password is reachable without a recovery session and fails with a misleading message.</t>
        </is>
      </c>
      <c r="E13" s="4" t="inlineStr">
        <is>
          <t>Route is public (__root.tsx:30) with no guard; resetPasswordFn throws "Unauthorized: not authenticated" (auth.mutations.ts:384), which the form shows as "We could not reach the account service" (ResetPasswordForm.tsx:56-57).</t>
        </is>
      </c>
      <c r="F13" s="4" t="inlineStr">
        <is>
          <t>Users who open the page directly or whose session expired get a wrong explanation.</t>
        </is>
      </c>
      <c r="G13" s="4" t="inlineStr">
        <is>
          <t>Detect the missing session and show "Your reset session expired - request a new code".</t>
        </is>
      </c>
      <c r="H13" s="28" t="inlineStr">
        <is>
          <t>Confirmed</t>
        </is>
      </c>
      <c r="I13" s="28">
        <f>COUNTIF('Test Cases'!$O$5:$O$1000,"*"&amp;A13&amp;"*")</f>
        <v/>
      </c>
      <c r="J13" s="4" t="inlineStr">
        <is>
          <t>RPW-009</t>
        </is>
      </c>
      <c r="K13" s="30" t="inlineStr">
        <is>
          <t>Open</t>
        </is>
      </c>
      <c r="L13" s="29" t="n"/>
    </row>
    <row r="14" ht="34" customHeight="1">
      <c r="A14" s="27" t="inlineStr">
        <is>
          <t>F-10</t>
        </is>
      </c>
      <c r="B14" s="28" t="inlineStr">
        <is>
          <t>Low</t>
        </is>
      </c>
      <c r="C14" s="4" t="inlineStr">
        <is>
          <t>Login</t>
        </is>
      </c>
      <c r="D14" s="4" t="inlineStr">
        <is>
          <t>Failure toast always says "Invalid email or password."</t>
        </is>
      </c>
      <c r="E14" s="4" t="inlineStr">
        <is>
          <t>useLogin.ts:20-23 ignores the server message, contradicting the inline alert for "This account is not active."</t>
        </is>
      </c>
      <c r="F14" s="4" t="inlineStr">
        <is>
          <t>Conflicting messages for suspended/deactivated users.</t>
        </is>
      </c>
      <c r="G14" s="4" t="inlineStr">
        <is>
          <t>Pass the mapped message to the toast.</t>
        </is>
      </c>
      <c r="H14" s="28" t="inlineStr">
        <is>
          <t>Confirmed</t>
        </is>
      </c>
      <c r="I14" s="28">
        <f>COUNTIF('Test Cases'!$O$5:$O$1000,"*"&amp;A14&amp;"*")</f>
        <v/>
      </c>
      <c r="J14" s="4" t="inlineStr">
        <is>
          <t>LGN-021</t>
        </is>
      </c>
      <c r="K14" s="30" t="inlineStr">
        <is>
          <t>Open</t>
        </is>
      </c>
      <c r="L14" s="29" t="n"/>
    </row>
    <row r="15" ht="34" customHeight="1">
      <c r="A15" s="27" t="inlineStr">
        <is>
          <t>F-11</t>
        </is>
      </c>
      <c r="B15" s="28" t="inlineStr">
        <is>
          <t>Medium</t>
        </is>
      </c>
      <c r="C15" s="4" t="inlineStr">
        <is>
          <t>Login (security)</t>
        </is>
      </c>
      <c r="D15" s="4" t="inlineStr">
        <is>
          <t>?redirect= is passed to router.navigate without validation.</t>
        </is>
      </c>
      <c r="E15" s="4" t="inlineStr">
        <is>
          <t>login.tsx:11-14 accepts any string; useLogin.ts:13 navigates to it.</t>
        </is>
      </c>
      <c r="F15" s="4" t="inlineStr">
        <is>
          <t>Possible open redirect / phishing hop, or unexpected navigation targets.</t>
        </is>
      </c>
      <c r="G15" s="4" t="inlineStr">
        <is>
          <t>Allow only same-origin paths starting with a single "/".</t>
        </is>
      </c>
      <c r="H15" s="28" t="inlineStr">
        <is>
          <t>Verify</t>
        </is>
      </c>
      <c r="I15" s="28">
        <f>COUNTIF('Test Cases'!$O$5:$O$1000,"*"&amp;A15&amp;"*")</f>
        <v/>
      </c>
      <c r="J15" s="4" t="inlineStr">
        <is>
          <t>LGN-027, LGN-028</t>
        </is>
      </c>
      <c r="K15" s="30" t="inlineStr">
        <is>
          <t>Open</t>
        </is>
      </c>
      <c r="L15" s="29" t="n"/>
    </row>
    <row r="16" ht="34" customHeight="1">
      <c r="A16" s="27" t="inlineStr">
        <is>
          <t>F-12</t>
        </is>
      </c>
      <c r="B16" s="28" t="inlineStr">
        <is>
          <t>Low</t>
        </is>
      </c>
      <c r="C16" s="4" t="inlineStr">
        <is>
          <t>Session</t>
        </is>
      </c>
      <c r="D16" s="4" t="inlineStr">
        <is>
          <t>Signed-in users can still open /login, /signup and /forgot-password.</t>
        </is>
      </c>
      <c r="E16" s="4" t="inlineStr">
        <is>
          <t>Public routes return user:null without lookup (__root.tsx:24-36,81-84).</t>
        </is>
      </c>
      <c r="F16" s="4" t="inlineStr">
        <is>
          <t>Confusing UX; no security impact by itself.</t>
        </is>
      </c>
      <c r="G16" s="4" t="inlineStr">
        <is>
          <t>Redirect authenticated users away from auth pages.</t>
        </is>
      </c>
      <c r="H16" s="28" t="inlineStr">
        <is>
          <t>Confirmed</t>
        </is>
      </c>
      <c r="I16" s="28">
        <f>COUNTIF('Test Cases'!$O$5:$O$1000,"*"&amp;A16&amp;"*")</f>
        <v/>
      </c>
      <c r="J16" s="4" t="inlineStr">
        <is>
          <t>SES-027</t>
        </is>
      </c>
      <c r="K16" s="30" t="inlineStr">
        <is>
          <t>Open</t>
        </is>
      </c>
      <c r="L16" s="29" t="n"/>
    </row>
    <row r="17" ht="64" customHeight="1">
      <c r="A17" s="27" t="inlineStr">
        <is>
          <t>F-13</t>
        </is>
      </c>
      <c r="B17" s="28" t="inlineStr">
        <is>
          <t>Low</t>
        </is>
      </c>
      <c r="C17" s="4" t="inlineStr">
        <is>
          <t>OTP</t>
        </is>
      </c>
      <c r="D17" s="4" t="inlineStr">
        <is>
          <t>Rejected-code explanations can be inaccurate.</t>
        </is>
      </c>
      <c r="E17" s="4" t="inlineStr">
        <is>
          <t>clearIssuedOtps removes all history on success (otp-codes.server.ts:37-43), so replaying a used code reports "Wrong code" not "old code"; a newest code rejected by Supabase within 1 h (shorter OTP expiry) is reported as "old code".</t>
        </is>
      </c>
      <c r="F17" s="4" t="inlineStr">
        <is>
          <t>Minor message inaccuracy.</t>
        </is>
      </c>
      <c r="G17" s="4" t="inlineStr">
        <is>
          <t>Keep consumed hashes with a used flag; read the OTP expiry from config.</t>
        </is>
      </c>
      <c r="H17" s="28" t="inlineStr">
        <is>
          <t>Confirmed</t>
        </is>
      </c>
      <c r="I17" s="28">
        <f>COUNTIF('Test Cases'!$O$5:$O$1000,"*"&amp;A17&amp;"*")</f>
        <v/>
      </c>
      <c r="J17" s="4" t="inlineStr">
        <is>
          <t>OTP-016, OTP-030, FPW-017</t>
        </is>
      </c>
      <c r="K17" s="30" t="inlineStr">
        <is>
          <t>Open</t>
        </is>
      </c>
      <c r="L17" s="29" t="n"/>
    </row>
    <row r="18" ht="34" customHeight="1">
      <c r="A18" s="27" t="inlineStr">
        <is>
          <t>F-14</t>
        </is>
      </c>
      <c r="B18" s="28" t="inlineStr">
        <is>
          <t>Low</t>
        </is>
      </c>
      <c r="C18" s="4" t="inlineStr">
        <is>
          <t>Code hygiene</t>
        </is>
      </c>
      <c r="D18" s="4" t="inlineStr">
        <is>
          <t>Unused duplicate sign-in function.</t>
        </is>
      </c>
      <c r="E18" s="4" t="inlineStr">
        <is>
          <t>routes/_authed/route.tsx:5-37 exports loginFn that is not referenced anywhere; it has no security-event logging.</t>
        </is>
      </c>
      <c r="F18" s="4" t="inlineStr">
        <is>
          <t>Risk of divergence or accidental use; dead code on a server route.</t>
        </is>
      </c>
      <c r="G18" s="4" t="inlineStr">
        <is>
          <t>Delete it.</t>
        </is>
      </c>
      <c r="H18" s="28" t="inlineStr">
        <is>
          <t>Confirmed</t>
        </is>
      </c>
      <c r="I18" s="28">
        <f>COUNTIF('Test Cases'!$O$5:$O$1000,"*"&amp;A18&amp;"*")</f>
        <v/>
      </c>
      <c r="J18" s="4" t="inlineStr">
        <is>
          <t>LGN-043</t>
        </is>
      </c>
      <c r="K18" s="30" t="inlineStr">
        <is>
          <t>Open</t>
        </is>
      </c>
      <c r="L18" s="29" t="n"/>
    </row>
    <row r="19" ht="34" customHeight="1">
      <c r="A19" s="27" t="inlineStr">
        <is>
          <t>F-15</t>
        </is>
      </c>
      <c r="B19" s="28" t="inlineStr">
        <is>
          <t>Low</t>
        </is>
      </c>
      <c r="C19" s="4" t="inlineStr">
        <is>
          <t>Password policy</t>
        </is>
      </c>
      <c r="D19" s="4" t="inlineStr">
        <is>
          <t>No handling of maximum password length (bcrypt 72-byte limit).</t>
        </is>
      </c>
      <c r="E19" s="4" t="inlineStr">
        <is>
          <t>No max rule in any schema (RegisterForm.tsx, ResetPasswordForm.tsx, SettingsPasswordPanel.tsx).</t>
        </is>
      </c>
      <c r="F19" s="4" t="inlineStr">
        <is>
          <t>Long passwords may be rejected with an unfriendly message or truncated by the auth provider.</t>
        </is>
      </c>
      <c r="G19" s="4" t="inlineStr">
        <is>
          <t>Add a max length consistent with the provider and show a clear error.</t>
        </is>
      </c>
      <c r="H19" s="28" t="inlineStr">
        <is>
          <t>Verify</t>
        </is>
      </c>
      <c r="I19" s="28">
        <f>COUNTIF('Test Cases'!$O$5:$O$1000,"*"&amp;A19&amp;"*")</f>
        <v/>
      </c>
      <c r="J19" s="4" t="inlineStr">
        <is>
          <t>REG-022, REG-023, RPW-013</t>
        </is>
      </c>
      <c r="K19" s="30" t="inlineStr">
        <is>
          <t>Open</t>
        </is>
      </c>
      <c r="L19" s="29" t="n"/>
    </row>
    <row r="20" ht="64" customHeight="1">
      <c r="A20" s="27" t="inlineStr">
        <is>
          <t>F-16</t>
        </is>
      </c>
      <c r="B20" s="28" t="inlineStr">
        <is>
          <t>Low</t>
        </is>
      </c>
      <c r="C20" s="4" t="inlineStr">
        <is>
          <t>Messaging</t>
        </is>
      </c>
      <c r="D20" s="4" t="inlineStr">
        <is>
          <t>User-facing errors expose infrastructure details.</t>
        </is>
      </c>
      <c r="E20" s="4" t="inlineStr">
        <is>
          <t>"Please check your Supabase connection" (auth.mutations.ts:113), "check your SMTP configuration in the Supabase Dashboard" (line 229), and "Failed to send the verification code: &lt;provider message&gt;" (lines 89, 477).</t>
        </is>
      </c>
      <c r="F20" s="4" t="inlineStr">
        <is>
          <t>Residents see developer wording; provider error text may leak internals.</t>
        </is>
      </c>
      <c r="G20" s="4" t="inlineStr">
        <is>
          <t>Log details server-side and show a plain-language message.</t>
        </is>
      </c>
      <c r="H20" s="28" t="inlineStr">
        <is>
          <t>Confirmed</t>
        </is>
      </c>
      <c r="I20" s="28">
        <f>COUNTIF('Test Cases'!$O$5:$O$1000,"*"&amp;A20&amp;"*")</f>
        <v/>
      </c>
      <c r="J20" s="4" t="inlineStr">
        <is>
          <t>LGN-033, REG-032, REG-033, FPW-007</t>
        </is>
      </c>
      <c r="K20" s="30" t="inlineStr">
        <is>
          <t>Open</t>
        </is>
      </c>
      <c r="L20" s="29" t="n"/>
    </row>
    <row r="21" ht="64" customHeight="1">
      <c r="A21" s="27" t="inlineStr">
        <is>
          <t>F-17</t>
        </is>
      </c>
      <c r="B21" s="28" t="inlineStr">
        <is>
          <t>Medium</t>
        </is>
      </c>
      <c r="C21" s="4" t="inlineStr">
        <is>
          <t>Session (security)</t>
        </is>
      </c>
      <c r="D21" s="4" t="inlineStr">
        <is>
          <t>Sign-out and password change do not end other or copied sessions.</t>
        </is>
      </c>
      <c r="E21" s="4" t="inlineStr">
        <is>
          <t>Tokens are verified locally via getClaims (server/auth.ts:34); revocation depends on profiles.sessions_revoked_at (admin action). Neither logout (routes/logout.tsx) nor resetPasswordFn/changeMyPasswordFn sets it.</t>
        </is>
      </c>
      <c r="F21" s="4" t="inlineStr">
        <is>
          <t>A stolen access token stays valid until it expires even after the user signs out or changes their password.</t>
        </is>
      </c>
      <c r="G21" s="4" t="inlineStr">
        <is>
          <t>Set the revocation marker on password change/reset; consider shortening JWT expiry.</t>
        </is>
      </c>
      <c r="H21" s="28" t="inlineStr">
        <is>
          <t>Verify</t>
        </is>
      </c>
      <c r="I21" s="28">
        <f>COUNTIF('Test Cases'!$O$5:$O$1000,"*"&amp;A21&amp;"*")</f>
        <v/>
      </c>
      <c r="J21" s="4" t="inlineStr">
        <is>
          <t>RPW-015, OUT-005</t>
        </is>
      </c>
      <c r="K21" s="30" t="inlineStr">
        <is>
          <t>Open</t>
        </is>
      </c>
      <c r="L21" s="29" t="n"/>
    </row>
    <row r="22" ht="49" customHeight="1">
      <c r="A22" s="27" t="inlineStr">
        <is>
          <t>F-18</t>
        </is>
      </c>
      <c r="B22" s="28" t="inlineStr">
        <is>
          <t>Medium</t>
        </is>
      </c>
      <c r="C22" s="4" t="inlineStr">
        <is>
          <t>OAuth (security)</t>
        </is>
      </c>
      <c r="D22" s="4" t="inlineStr">
        <is>
          <t>The OAuth / email-link callback does not sign out inactive accounts.</t>
        </is>
      </c>
      <c r="E22" s="4" t="inlineStr">
        <is>
          <t>Password sign-in signs out inactive users (loginWithEmailFn:126-129); auth/callback.tsx creates the session and redirects without checking access_status.</t>
        </is>
      </c>
      <c r="F22" s="4" t="inlineStr">
        <is>
          <t>A suspended user keeps a live Supabase session (UI and server functions still refuse them, but the session exists).</t>
        </is>
      </c>
      <c r="G22" s="4" t="inlineStr">
        <is>
          <t>Check access_status in the callback and call signOut for inactive users.</t>
        </is>
      </c>
      <c r="H22" s="28" t="inlineStr">
        <is>
          <t>Verify</t>
        </is>
      </c>
      <c r="I22" s="28">
        <f>COUNTIF('Test Cases'!$O$5:$O$1000,"*"&amp;A22&amp;"*")</f>
        <v/>
      </c>
      <c r="J22" s="4" t="inlineStr">
        <is>
          <t>OAU-019</t>
        </is>
      </c>
      <c r="K22" s="30" t="inlineStr">
        <is>
          <t>Open</t>
        </is>
      </c>
      <c r="L22" s="29" t="n"/>
    </row>
    <row r="23" ht="49" customHeight="1">
      <c r="A23" s="27" t="inlineStr">
        <is>
          <t>F-19</t>
        </is>
      </c>
      <c r="B23" s="28" t="inlineStr">
        <is>
          <t>Low</t>
        </is>
      </c>
      <c r="C23" s="4" t="inlineStr">
        <is>
          <t>Registration / compliance</t>
        </is>
      </c>
      <c r="D23" s="4" t="inlineStr">
        <is>
          <t>Terms of Use and Privacy Notice links point to "/".</t>
        </is>
      </c>
      <c r="E23" s="4" t="inlineStr">
        <is>
          <t>RegisterForm.tsx:360-368.</t>
        </is>
      </c>
      <c r="F23" s="4" t="inlineStr">
        <is>
          <t>Consent is collected without presenting the documents (relevant to the Philippine Data Privacy Act notice requirement).</t>
        </is>
      </c>
      <c r="G23" s="4" t="inlineStr">
        <is>
          <t>Publish the documents and link to them.</t>
        </is>
      </c>
      <c r="H23" s="28" t="inlineStr">
        <is>
          <t>Confirmed</t>
        </is>
      </c>
      <c r="I23" s="28">
        <f>COUNTIF('Test Cases'!$O$5:$O$1000,"*"&amp;A23&amp;"*")</f>
        <v/>
      </c>
      <c r="J23" s="4" t="inlineStr">
        <is>
          <t>REG-026</t>
        </is>
      </c>
      <c r="K23" s="30" t="inlineStr">
        <is>
          <t>Open</t>
        </is>
      </c>
      <c r="L23" s="29" t="n"/>
    </row>
    <row r="24" ht="34" customHeight="1">
      <c r="A24" s="27" t="inlineStr">
        <is>
          <t>F-20</t>
        </is>
      </c>
      <c r="B24" s="28" t="inlineStr">
        <is>
          <t>Low</t>
        </is>
      </c>
      <c r="C24" s="4" t="inlineStr">
        <is>
          <t>Staff invitation</t>
        </is>
      </c>
      <c r="D24" s="4" t="inlineStr">
        <is>
          <t>Invitation acceptance excludes admin and system_admin roles.</t>
        </is>
      </c>
      <c r="E24" s="4" t="inlineStr">
        <is>
          <t>isOperationalRole is staff, supervisor, cashier only (server/auth.ts:114-116) and is the gate in acceptStaffInvitationFn.</t>
        </is>
      </c>
      <c r="F24" s="4" t="inlineStr">
        <is>
          <t>Invited admins would be told "This account is not a staff invitation."</t>
        </is>
      </c>
      <c r="G24" s="4" t="inlineStr">
        <is>
          <t>Confirm whether admins are ever invited; if so widen the check.</t>
        </is>
      </c>
      <c r="H24" s="28" t="inlineStr">
        <is>
          <t>Verify</t>
        </is>
      </c>
      <c r="I24" s="28">
        <f>COUNTIF('Test Cases'!$O$5:$O$1000,"*"&amp;A24&amp;"*")</f>
        <v/>
      </c>
      <c r="J24" s="4" t="inlineStr">
        <is>
          <t>INV-011</t>
        </is>
      </c>
      <c r="K24" s="30" t="inlineStr">
        <is>
          <t>Open</t>
        </is>
      </c>
      <c r="L24" s="29" t="n"/>
    </row>
    <row r="25" ht="49" customHeight="1">
      <c r="A25" s="27" t="inlineStr">
        <is>
          <t>F-21</t>
        </is>
      </c>
      <c r="B25" s="28" t="inlineStr">
        <is>
          <t>Low</t>
        </is>
      </c>
      <c r="C25" s="4" t="inlineStr">
        <is>
          <t>Route guards</t>
        </is>
      </c>
      <c r="D25" s="4" t="inlineStr">
        <is>
          <t>Some guards throw instead of redirecting.</t>
        </is>
      </c>
      <c r="E25" s="4" t="inlineStr">
        <is>
          <t>my-requests/index.tsx:10, my-requests/$requestId.tsx and notifications.tsx throw new Error("Forbidden") while other guards redirect to /dashboard.</t>
        </is>
      </c>
      <c r="F25" s="4" t="inlineStr">
        <is>
          <t>Non-applicants see the error boundary rather than being redirected.</t>
        </is>
      </c>
      <c r="G25" s="4" t="inlineStr">
        <is>
          <t>Use redirect({ to: "/dashboard" }) consistently.</t>
        </is>
      </c>
      <c r="H25" s="28" t="inlineStr">
        <is>
          <t>Confirmed</t>
        </is>
      </c>
      <c r="I25" s="28">
        <f>COUNTIF('Test Cases'!$O$5:$O$1000,"*"&amp;A25&amp;"*")</f>
        <v/>
      </c>
      <c r="J25" s="4" t="inlineStr">
        <is>
          <t>SES-010</t>
        </is>
      </c>
      <c r="K25" s="30" t="inlineStr">
        <is>
          <t>Open</t>
        </is>
      </c>
      <c r="L25" s="29" t="n"/>
    </row>
    <row r="26" ht="64" customHeight="1">
      <c r="A26" s="27" t="inlineStr">
        <is>
          <t>F-22</t>
        </is>
      </c>
      <c r="B26" s="28" t="inlineStr">
        <is>
          <t>Info</t>
        </is>
      </c>
      <c r="C26" s="4" t="inlineStr">
        <is>
          <t>Spec drift</t>
        </is>
      </c>
      <c r="D26" s="4" t="inlineStr">
        <is>
          <t>Implementation differs from the project brief (CLAUDE.md).</t>
        </is>
      </c>
      <c r="E26" s="4" t="inlineStr">
        <is>
          <t>Brief §8 asks for a single /dashboard with no per-role routes; code redirects to /admin, /staff-dashboard and /system-admin/health (dashboard.tsx:9-20). Brief §2 lists three roles; code has six (adds supervisor, cashier, system_admin).</t>
        </is>
      </c>
      <c r="F26" s="4" t="inlineStr">
        <is>
          <t>Test cases follow the code. Documentation or code should be reconciled before the capstone defence.</t>
        </is>
      </c>
      <c r="G26" s="4" t="inlineStr">
        <is>
          <t>Update CLAUDE.md or the routing.</t>
        </is>
      </c>
      <c r="H26" s="28" t="inlineStr">
        <is>
          <t>Confirmed</t>
        </is>
      </c>
      <c r="I26" s="28">
        <f>COUNTIF('Test Cases'!$O$5:$O$1000,"*"&amp;A26&amp;"*")</f>
        <v/>
      </c>
      <c r="J26" s="4" t="inlineStr">
        <is>
          <t>SES-033</t>
        </is>
      </c>
      <c r="K26" s="30" t="inlineStr">
        <is>
          <t>Open</t>
        </is>
      </c>
      <c r="L26" s="29" t="n"/>
    </row>
    <row r="27" ht="34" customHeight="1">
      <c r="A27" s="27" t="inlineStr">
        <is>
          <t>F-23</t>
        </is>
      </c>
      <c r="B27" s="28" t="inlineStr">
        <is>
          <t>Info</t>
        </is>
      </c>
      <c r="C27" s="4" t="inlineStr">
        <is>
          <t>Scope</t>
        </is>
      </c>
      <c r="D27" s="4" t="inlineStr">
        <is>
          <t>Apple OAuth is typed and callable but has no UI and is not in scope.</t>
        </is>
      </c>
      <c r="E27" s="4" t="inlineStr">
        <is>
          <t>useOAuthLogin.ts:5 and loginWithOAuthFn:141.</t>
        </is>
      </c>
      <c r="F27" s="4" t="inlineStr">
        <is>
          <t>Dead surface area.</t>
        </is>
      </c>
      <c r="G27" s="4" t="inlineStr">
        <is>
          <t>Remove the Apple provider type or keep it disabled.</t>
        </is>
      </c>
      <c r="H27" s="28" t="inlineStr">
        <is>
          <t>Confirmed</t>
        </is>
      </c>
      <c r="I27" s="28">
        <f>COUNTIF('Test Cases'!$O$5:$O$1000,"*"&amp;A27&amp;"*")</f>
        <v/>
      </c>
      <c r="J27" s="4" t="inlineStr">
        <is>
          <t>OAU-020</t>
        </is>
      </c>
      <c r="K27" s="30" t="inlineStr">
        <is>
          <t>Open</t>
        </is>
      </c>
      <c r="L27" s="29" t="n"/>
    </row>
    <row r="28" ht="49" customHeight="1">
      <c r="A28" s="27" t="inlineStr">
        <is>
          <t>F-24</t>
        </is>
      </c>
      <c r="B28" s="28" t="inlineStr">
        <is>
          <t>Info</t>
        </is>
      </c>
      <c r="C28" s="4" t="inlineStr">
        <is>
          <t>Audit scope</t>
        </is>
      </c>
      <c r="D28" s="4" t="inlineStr">
        <is>
          <t>Citizen sign-ins are not audited; failed sign-ins retain no identifier unless a secret is set.</t>
        </is>
      </c>
      <c r="E28" s="4" t="inlineStr">
        <is>
          <t>recordSessionStarted skips applicants (security-center.server.ts:77-79); subject_fingerprint is null without SECURITY_EVENT_HASH_SECRET (lines 24-31).</t>
        </is>
      </c>
      <c r="F28" s="4" t="inlineStr">
        <is>
          <t>The brief lists "audit logs of logins"; this is narrower by design.</t>
        </is>
      </c>
      <c r="G28" s="4" t="inlineStr">
        <is>
          <t>Confirm the intended scope with the CCRO and document it.</t>
        </is>
      </c>
      <c r="H28" s="28" t="inlineStr">
        <is>
          <t>Confirmed</t>
        </is>
      </c>
      <c r="I28" s="28">
        <f>COUNTIF('Test Cases'!$O$5:$O$1000,"*"&amp;A28&amp;"*")</f>
        <v/>
      </c>
      <c r="J28" s="4" t="inlineStr">
        <is>
          <t>AUD-002, AUD-003</t>
        </is>
      </c>
      <c r="K28" s="30" t="inlineStr">
        <is>
          <t>Open</t>
        </is>
      </c>
      <c r="L28" s="29" t="n"/>
    </row>
  </sheetData>
  <autoFilter ref="A4:L28"/>
  <mergeCells count="1">
    <mergeCell ref="A2:J2"/>
  </mergeCells>
  <conditionalFormatting sqref="B5:B500">
    <cfRule type="cellIs" priority="1" operator="equal" dxfId="2">
      <formula>"Medium"</formula>
    </cfRule>
    <cfRule type="cellIs" priority="2" operator="equal" dxfId="0">
      <formula>"High"</formula>
    </cfRule>
    <cfRule type="cellIs" priority="3" operator="equal" dxfId="0">
      <formula>"Critical"</formula>
    </cfRule>
    <cfRule type="cellIs" priority="4" operator="equal" dxfId="9">
      <formula>"Low"</formula>
    </cfRule>
    <cfRule type="cellIs" priority="5" operator="equal" dxfId="10">
      <formula>"Info"</formula>
    </cfRule>
  </conditionalFormatting>
  <dataValidations count="1">
    <dataValidation sqref="K5:K500" showDropDown="0" showInputMessage="0" showErrorMessage="0" allowBlank="0" type="list">
      <formula1>"Open,Confirmed defect,Accepted risk,Fixed,Not an issue"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2" customWidth="1" min="3" max="3"/>
    <col width="36" customWidth="1" min="4" max="4"/>
    <col width="40" customWidth="1" min="5" max="5"/>
  </cols>
  <sheetData>
    <row r="1">
      <c r="A1" s="25" t="inlineStr">
        <is>
          <t>Test accounts and data setup</t>
        </is>
      </c>
    </row>
    <row r="2" ht="30" customHeight="1">
      <c r="A2" s="26" t="inlineStr">
        <is>
          <t>Use throwaway test credentials only. Mailboxes must be real inboxes you control, because sign-up, verification and reset flows send email. Standard test password: Passw0rd1 unless a test case says otherwise. Fill in the yellow Email column before testing.</t>
        </is>
      </c>
    </row>
    <row r="4" ht="32" customHeight="1">
      <c r="A4" s="16" t="inlineStr">
        <is>
          <t>Ref</t>
        </is>
      </c>
      <c r="B4" s="16" t="inlineStr">
        <is>
          <t>Role / state</t>
        </is>
      </c>
      <c r="C4" s="16" t="inlineStr">
        <is>
          <t>How to set up</t>
        </is>
      </c>
      <c r="D4" s="16" t="inlineStr">
        <is>
          <t>Email address *</t>
        </is>
      </c>
      <c r="E4" s="16" t="inlineStr">
        <is>
          <t>Notes</t>
        </is>
      </c>
    </row>
    <row r="5" ht="32" customHeight="1">
      <c r="A5" s="27" t="inlineStr">
        <is>
          <t>ACC-01</t>
        </is>
      </c>
      <c r="B5" s="4" t="inlineStr">
        <is>
          <t>Applicant - confirmed, active</t>
        </is>
      </c>
      <c r="C5" s="4" t="inlineStr">
        <is>
          <t>Register through /signup and confirm the OTP. First, middle and last name set.</t>
        </is>
      </c>
      <c r="D5" s="29" t="n"/>
      <c r="E5" s="4" t="inlineStr">
        <is>
          <t>Primary happy-path account.</t>
        </is>
      </c>
    </row>
    <row r="6" ht="32" customHeight="1">
      <c r="A6" s="27" t="inlineStr">
        <is>
          <t>ACC-02</t>
        </is>
      </c>
      <c r="B6" s="4" t="inlineStr">
        <is>
          <t>Applicant - email NOT confirmed</t>
        </is>
      </c>
      <c r="C6" s="4" t="inlineStr">
        <is>
          <t>Register through /signup, then do not enter the OTP.</t>
        </is>
      </c>
      <c r="D6" s="29" t="n"/>
      <c r="E6" s="4" t="inlineStr">
        <is>
          <t>Auth user has email_confirmed_at = null.</t>
        </is>
      </c>
    </row>
    <row r="7" ht="32" customHeight="1">
      <c r="A7" s="27" t="inlineStr">
        <is>
          <t>ACC-03</t>
        </is>
      </c>
      <c r="B7" s="4" t="inlineStr">
        <is>
          <t>Applicant - suspended</t>
        </is>
      </c>
      <c r="C7" s="4" t="inlineStr">
        <is>
          <t>Create like ACC-01, then set profiles.access_status = 'suspended' (or use the admin Accounts page).</t>
        </is>
      </c>
      <c r="D7" s="29" t="n"/>
      <c r="E7" s="4" t="inlineStr">
        <is>
          <t>Also reuse with a staff role for staff-specific cases.</t>
        </is>
      </c>
    </row>
    <row r="8" ht="32" customHeight="1">
      <c r="A8" s="27" t="inlineStr">
        <is>
          <t>ACC-04</t>
        </is>
      </c>
      <c r="B8" s="4" t="inlineStr">
        <is>
          <t>Applicant - deactivated</t>
        </is>
      </c>
      <c r="C8" s="4" t="inlineStr">
        <is>
          <t>Create like ACC-01, then set access_status = 'deactivated'.</t>
        </is>
      </c>
      <c r="D8" s="29" t="n"/>
      <c r="E8" s="4" t="inlineStr"/>
    </row>
    <row r="9" ht="32" customHeight="1">
      <c r="A9" s="27" t="inlineStr">
        <is>
          <t>ACC-05</t>
        </is>
      </c>
      <c r="B9" s="4" t="inlineStr">
        <is>
          <t>CCRO Staff</t>
        </is>
      </c>
      <c r="C9" s="4" t="inlineStr">
        <is>
          <t>Create via the admin Staff page / invitation; role = staff.</t>
        </is>
      </c>
      <c r="D9" s="29" t="n"/>
      <c r="E9" s="4" t="inlineStr">
        <is>
          <t>Needs a department assigned.</t>
        </is>
      </c>
    </row>
    <row r="10" ht="32" customHeight="1">
      <c r="A10" s="27" t="inlineStr">
        <is>
          <t>ACC-06</t>
        </is>
      </c>
      <c r="B10" s="4" t="inlineStr">
        <is>
          <t>Supervisor</t>
        </is>
      </c>
      <c r="C10" s="4" t="inlineStr">
        <is>
          <t>As ACC-05 with role = supervisor.</t>
        </is>
      </c>
      <c r="D10" s="29" t="n"/>
      <c r="E10" s="4" t="inlineStr"/>
    </row>
    <row r="11" ht="32" customHeight="1">
      <c r="A11" s="27" t="inlineStr">
        <is>
          <t>ACC-07</t>
        </is>
      </c>
      <c r="B11" s="4" t="inlineStr">
        <is>
          <t>Cashier</t>
        </is>
      </c>
      <c r="C11" s="4" t="inlineStr">
        <is>
          <t>As ACC-05 with role = cashier.</t>
        </is>
      </c>
      <c r="D11" s="29" t="n"/>
      <c r="E11" s="4" t="inlineStr"/>
    </row>
    <row r="12" ht="32" customHeight="1">
      <c r="A12" s="27" t="inlineStr">
        <is>
          <t>ACC-08</t>
        </is>
      </c>
      <c r="B12" s="4" t="inlineStr">
        <is>
          <t>CCRO Admin</t>
        </is>
      </c>
      <c r="C12" s="4" t="inlineStr">
        <is>
          <t>Role = admin.</t>
        </is>
      </c>
      <c r="D12" s="29" t="n"/>
      <c r="E12" s="4" t="inlineStr"/>
    </row>
    <row r="13" ht="32" customHeight="1">
      <c r="A13" s="27" t="inlineStr">
        <is>
          <t>ACC-09</t>
        </is>
      </c>
      <c r="B13" s="4" t="inlineStr">
        <is>
          <t>System Admin</t>
        </is>
      </c>
      <c r="C13" s="4" t="inlineStr">
        <is>
          <t>Role = system_admin.</t>
        </is>
      </c>
      <c r="D13" s="29" t="n"/>
      <c r="E13" s="4" t="inlineStr"/>
    </row>
    <row r="14" ht="32" customHeight="1">
      <c r="A14" s="27" t="inlineStr">
        <is>
          <t>ACC-10</t>
        </is>
      </c>
      <c r="B14" s="4" t="inlineStr">
        <is>
          <t>Google account - names present</t>
        </is>
      </c>
      <c r="C14" s="4" t="inlineStr">
        <is>
          <t>A real Google test account with given and family name.</t>
        </is>
      </c>
      <c r="D14" s="29" t="n"/>
      <c r="E14" s="4" t="inlineStr">
        <is>
          <t>Needs the Google provider enabled in Supabase.</t>
        </is>
      </c>
    </row>
    <row r="15" ht="32" customHeight="1">
      <c r="A15" s="27" t="inlineStr">
        <is>
          <t>ACC-11</t>
        </is>
      </c>
      <c r="B15" s="4" t="inlineStr">
        <is>
          <t>Google account - blank given/family name</t>
        </is>
      </c>
      <c r="C15" s="4" t="inlineStr">
        <is>
          <t>Real Google accounts almost always have names, so: sign in once with any Google test account, then in the test project run UPDATE profiles SET first_name = '', last_name = '' WHERE id = '&lt;user id&gt;'; sign in again.</t>
        </is>
      </c>
      <c r="D15" s="29" t="n"/>
      <c r="E15" s="4" t="inlineStr">
        <is>
          <t>Exercises the onboarding gate.</t>
        </is>
      </c>
    </row>
    <row r="16" ht="32" customHeight="1">
      <c r="A16" s="27" t="inlineStr">
        <is>
          <t>ACC-12</t>
        </is>
      </c>
      <c r="B16" s="4" t="inlineStr">
        <is>
          <t>Pending staff invitation</t>
        </is>
      </c>
      <c r="C16" s="4" t="inlineStr">
        <is>
          <t>Invite a new staff email from the admin Staff page; keep the invite link unused.</t>
        </is>
      </c>
      <c r="D16" s="29" t="n"/>
      <c r="E16" s="4" t="inlineStr">
        <is>
          <t>Link is single-use and expires.</t>
        </is>
      </c>
    </row>
    <row r="17" ht="32" customHeight="1">
      <c r="A17" s="27" t="inlineStr">
        <is>
          <t>ACC-13</t>
        </is>
      </c>
      <c r="B17" s="4" t="inlineStr">
        <is>
          <t>Auth user without a profile</t>
        </is>
      </c>
      <c r="C17" s="4" t="inlineStr">
        <is>
          <t>Create an auth.users row, then delete its profiles row (test project only).</t>
        </is>
      </c>
      <c r="D17" s="29" t="n"/>
      <c r="E17" s="4" t="inlineStr">
        <is>
          <t>Simulates a failed signup trigger.</t>
        </is>
      </c>
    </row>
    <row r="19">
      <c r="A19" s="5" t="inlineStr">
        <is>
          <t>Environment prerequisites</t>
        </is>
      </c>
    </row>
    <row r="20" ht="30" customHeight="1">
      <c r="A20" s="35" t="inlineStr">
        <is>
          <t>1.</t>
        </is>
      </c>
      <c r="B20" s="36" t="inlineStr">
        <is>
          <t>A test Supabase project (never production) with the app's migrations applied and service-role key configured for the server.</t>
        </is>
      </c>
    </row>
    <row r="21" ht="30" customHeight="1">
      <c r="A21" s="35" t="inlineStr">
        <is>
          <t>2.</t>
        </is>
      </c>
      <c r="B21" s="36" t="inlineStr">
        <is>
          <t>Email delivery configured (Resend) to inboxes the tester can read; ability to stub or disable it for failure cases.</t>
        </is>
      </c>
    </row>
    <row r="22" ht="30" customHeight="1">
      <c r="A22" s="35" t="inlineStr">
        <is>
          <t>3.</t>
        </is>
      </c>
      <c r="B22" s="36" t="inlineStr">
        <is>
          <t>Supabase Auth: Email OTP length 6 and expiry 3600 s; Google provider enabled for OAuth cases; note the project's rate limits.</t>
        </is>
      </c>
    </row>
    <row r="23" ht="30" customHeight="1">
      <c r="A23" s="35" t="inlineStr">
        <is>
          <t>4.</t>
        </is>
      </c>
      <c r="B23" s="36" t="inlineStr">
        <is>
          <t>Database access (SQL editor) to read profiles, auth_otp_codes and system_security_events and to backdate issued_at.</t>
        </is>
      </c>
    </row>
    <row r="24" ht="30" customHeight="1">
      <c r="A24" s="35" t="inlineStr">
        <is>
          <t>5.</t>
        </is>
      </c>
      <c r="B24" s="36" t="inlineStr">
        <is>
          <t>Browsers: current Chrome and one other (Firefox or Safari); DevTools Network tab for request counts and offline mode.</t>
        </is>
      </c>
    </row>
  </sheetData>
  <mergeCells count="6">
    <mergeCell ref="B23:E23"/>
    <mergeCell ref="A2:E2"/>
    <mergeCell ref="B21:E21"/>
    <mergeCell ref="B24:E24"/>
    <mergeCell ref="B20:E20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2026-10-09T09:37:36Z</dcterms:created>
  <dcterms:modified xmlns:dcterms="http://purl.org/dc/terms/" xmlns:xsi="http://www.w3.org/2001/XMLSchema-instance" xsi:type="dcterms:W3CDTF">2026-10-09T09:37:36Z</dcterms:modified>
</cp:coreProperties>
</file>